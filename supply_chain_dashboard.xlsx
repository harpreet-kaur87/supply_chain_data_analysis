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user\Desktop\DATA SCIENCE\PROJECTS-ALL\EXCEL\supply_chain\"/>
    </mc:Choice>
  </mc:AlternateContent>
  <xr:revisionPtr revIDLastSave="0" documentId="13_ncr:1_{E7F1A62A-99A5-4A96-923B-E93CF266C91C}" xr6:coauthVersionLast="47" xr6:coauthVersionMax="47" xr10:uidLastSave="{00000000-0000-0000-0000-000000000000}"/>
  <bookViews>
    <workbookView xWindow="-120" yWindow="-120" windowWidth="20730" windowHeight="11160" tabRatio="809" activeTab="2" xr2:uid="{00000000-000D-0000-FFFF-FFFF00000000}"/>
  </bookViews>
  <sheets>
    <sheet name="Supplier &amp; Logistics" sheetId="13" r:id="rId1"/>
    <sheet name="Manufacturing &amp; Production" sheetId="12" r:id="rId2"/>
    <sheet name="Sales &amp; Product Performance" sheetId="9" r:id="rId3"/>
    <sheet name="PIVOT_TABLE" sheetId="6" r:id="rId4"/>
    <sheet name="supply_chain_analysis" sheetId="2" r:id="rId5"/>
  </sheets>
  <definedNames>
    <definedName name="ExternalData_1" localSheetId="4" hidden="1">supply_chain_analysis!$A$1:$X$101</definedName>
    <definedName name="Slicer_Product_type">#N/A</definedName>
  </definedNames>
  <calcPr calcId="191029"/>
  <pivotCaches>
    <pivotCache cacheId="1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FF0556-84D5-4A2E-B056-D8833924CEC9}" keepAlive="1" name="Query - supply_chain_analysis" description="Connection to the 'supply_chain_analysis' query in the workbook." type="5" refreshedVersion="8" background="1" saveData="1">
    <dbPr connection="Provider=Microsoft.Mashup.OleDb.1;Data Source=$Workbook$;Location=supply_chain_analysis;Extended Properties=&quot;&quot;" command="SELECT * FROM [supply_chain_analysis]"/>
  </connection>
</connections>
</file>

<file path=xl/sharedStrings.xml><?xml version="1.0" encoding="utf-8"?>
<sst xmlns="http://schemas.openxmlformats.org/spreadsheetml/2006/main" count="1103" uniqueCount="211">
  <si>
    <t>Product type</t>
  </si>
  <si>
    <t>SKU</t>
  </si>
  <si>
    <t>Price</t>
  </si>
  <si>
    <t>Availability</t>
  </si>
  <si>
    <t>Number of products sold</t>
  </si>
  <si>
    <t>Revenue generated</t>
  </si>
  <si>
    <t>Customer demographics</t>
  </si>
  <si>
    <t>Stock levels</t>
  </si>
  <si>
    <t>Order quantities</t>
  </si>
  <si>
    <t>Shipping times</t>
  </si>
  <si>
    <t>Shipping carriers</t>
  </si>
  <si>
    <t>Shipping costs</t>
  </si>
  <si>
    <t>Supplier name</t>
  </si>
  <si>
    <t>Location</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</si>
  <si>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</si>
  <si>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</si>
  <si>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</si>
  <si>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</si>
  <si>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</si>
  <si>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</si>
  <si>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</si>
  <si>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</si>
  <si>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</si>
  <si>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</si>
  <si>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</si>
  <si>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</si>
  <si>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</si>
  <si>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</si>
  <si>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</si>
  <si>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</si>
  <si>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</si>
  <si>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</si>
  <si>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</si>
  <si>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</si>
  <si>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</si>
  <si>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</si>
  <si>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</si>
  <si>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</si>
  <si>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</si>
  <si>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</si>
  <si>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</si>
  <si>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</si>
  <si>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</si>
  <si>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</si>
  <si>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</si>
  <si>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</si>
  <si>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</si>
  <si>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</si>
  <si>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</si>
  <si>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</si>
  <si>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</si>
  <si>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</si>
  <si>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</si>
  <si>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</si>
  <si>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</si>
  <si>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</si>
  <si>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</si>
  <si>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</si>
  <si>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</si>
  <si>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</si>
  <si>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</si>
  <si>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</si>
  <si>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</si>
  <si>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</si>
  <si>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</si>
  <si>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</si>
  <si>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</si>
  <si>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</si>
  <si>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</si>
  <si>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</si>
  <si>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</si>
  <si>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</si>
  <si>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</si>
  <si>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</si>
  <si>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</si>
  <si>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</si>
  <si>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</si>
  <si>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</si>
  <si>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</si>
  <si>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</si>
  <si>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</si>
  <si>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</si>
  <si>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</si>
  <si>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</si>
  <si>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</si>
  <si>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</si>
  <si>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</si>
  <si>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</si>
  <si>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</si>
  <si>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</si>
  <si>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</si>
  <si>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</si>
  <si>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</si>
  <si>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</si>
  <si>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</si>
  <si>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</si>
  <si>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</si>
  <si>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</si>
  <si>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</si>
  <si>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</si>
  <si>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</si>
  <si>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</si>
  <si>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</si>
  <si>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</si>
  <si>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</si>
  <si>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</si>
  <si>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</si>
  <si>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</si>
  <si>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</si>
  <si>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</si>
  <si>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</si>
  <si>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</si>
  <si>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</si>
  <si>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</si>
  <si>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</si>
  <si>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</si>
  <si>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</si>
  <si>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</si>
  <si>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</si>
  <si>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</si>
  <si>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</si>
  <si>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</si>
  <si>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</si>
  <si>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</si>
  <si>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</si>
  <si>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</si>
  <si>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</si>
  <si>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</si>
  <si>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</si>
  <si>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</si>
  <si>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</si>
  <si>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</si>
  <si>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</si>
  <si>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</si>
  <si>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</si>
  <si>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</si>
  <si>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</si>
  <si>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</si>
  <si>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</si>
  <si>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</si>
  <si>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</si>
  <si>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</si>
  <si>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</si>
  <si>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</si>
  <si>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</si>
  <si>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</si>
  <si>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</si>
  <si>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</si>
  <si>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</si>
  <si>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</si>
  <si>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</si>
  <si>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</si>
  <si>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Grand Total</t>
  </si>
  <si>
    <t>Product Category</t>
  </si>
  <si>
    <t>No. of Products</t>
  </si>
  <si>
    <t>No. of Products in Each Category</t>
  </si>
  <si>
    <t>Total number of products sold</t>
  </si>
  <si>
    <t>No. of Products Sold in Each Category</t>
  </si>
  <si>
    <t>Product ID</t>
  </si>
  <si>
    <t>Sum of Revenue generated</t>
  </si>
  <si>
    <t>Customer's Distribution</t>
  </si>
  <si>
    <t>Customer Demographics</t>
  </si>
  <si>
    <t>Count</t>
  </si>
  <si>
    <t>Total Revenue by Each Category</t>
  </si>
  <si>
    <t>Total Revenue</t>
  </si>
  <si>
    <t>Delivery Lead times</t>
  </si>
  <si>
    <t>Supplier Lead Time</t>
  </si>
  <si>
    <t>Sum of Production volumes</t>
  </si>
  <si>
    <t xml:space="preserve"> Production volumes</t>
  </si>
  <si>
    <t xml:space="preserve"> Manufacturing lead time</t>
  </si>
  <si>
    <t>Top 5 Most Expensive SKUs  to Manufacture</t>
  </si>
  <si>
    <t xml:space="preserve"> Manufacturing costs</t>
  </si>
  <si>
    <t>Lowest Manufacturing Cost Products</t>
  </si>
  <si>
    <t>Lowest SKU's according to Quantity</t>
  </si>
  <si>
    <t>Supplier Name</t>
  </si>
  <si>
    <t>Avg Shipping Time</t>
  </si>
  <si>
    <t>Column Labels</t>
  </si>
  <si>
    <t>Supplier's Analysis</t>
  </si>
  <si>
    <t>Average Supplier Lead Time</t>
  </si>
  <si>
    <t>Average Manufacturing Lead Time</t>
  </si>
  <si>
    <t>Count of Inspection results</t>
  </si>
  <si>
    <t>Supplier - Inspection Result</t>
  </si>
  <si>
    <t>Supplier Performance</t>
  </si>
  <si>
    <t>Manufacturing Cost Comparison per Supplier</t>
  </si>
  <si>
    <t xml:space="preserve"> </t>
  </si>
  <si>
    <t>Avg Shipping Cost by Carrier</t>
  </si>
  <si>
    <t>Average of Shipping costs</t>
  </si>
  <si>
    <t>Shipping Carriers</t>
  </si>
  <si>
    <t>Avg Shipping Cost by Routes</t>
  </si>
  <si>
    <t>Inventory and Demand Analysis</t>
  </si>
  <si>
    <t>Sales Performance</t>
  </si>
  <si>
    <t>Production &amp; Manufacturing</t>
  </si>
  <si>
    <t>Top 5 Products by Production Volume</t>
  </si>
  <si>
    <t>Bottom 5 Products by Production Volume</t>
  </si>
  <si>
    <t>Fastest-to-Produce SKUs (least manufacturing time)</t>
  </si>
  <si>
    <t>Slowest-to-Produce SKUs (longest manufacturing time)</t>
  </si>
  <si>
    <t>Cost &amp; Financial Analysis</t>
  </si>
  <si>
    <t>Top 5  SKU's according to Quantity</t>
  </si>
  <si>
    <t>Top 5 SKU's according to Revenue</t>
  </si>
  <si>
    <t>Average Manufacturing Time</t>
  </si>
  <si>
    <t>Average of Manufacturing lead time</t>
  </si>
  <si>
    <t>Total Units Produced</t>
  </si>
  <si>
    <t>Average Shipping Time</t>
  </si>
  <si>
    <t>Average of Shipping times</t>
  </si>
  <si>
    <t>Average Shipping Cost</t>
  </si>
  <si>
    <t>Average Selling Price</t>
  </si>
  <si>
    <t>Average of Price</t>
  </si>
  <si>
    <t>Average of Supplier Lead Time</t>
  </si>
  <si>
    <t>Total Units Sold</t>
  </si>
  <si>
    <t>Sum of Number of products sold</t>
  </si>
  <si>
    <t>Sku's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</si>
</sst>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sz val="8"/>
      <name val="Calibri"/>
      <family val="2"/>
      <scheme val="minor"/>
    </font>
    <font>
      <b/>
      <sz val="2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 fontId="0" fillId="0" borderId="0" xfId="0" applyNumberFormat="1"/>
    <xf numFmtId="0" fontId="1" fillId="2" borderId="0" xfId="0" applyFont="1" applyFill="1"/>
    <xf numFmtId="0" fontId="1" fillId="2" borderId="0" xfId="0" applyFont="1" applyFill="1" applyAlignment="1">
      <alignment horizontal="center"/>
    </xf>
    <xf numFmtId="0" fontId="3" fillId="0" borderId="0" xfId="0" applyFont="1" applyAlignment="1">
      <alignment horizontal="left"/>
    </xf>
    <xf numFmtId="0" fontId="1" fillId="0" borderId="0" xfId="0" applyFont="1" applyAlignment="1">
      <alignment horizontal="center"/>
    </xf>
    <xf numFmtId="0" fontId="0" fillId="0" borderId="0" xfId="0" applyAlignment="1">
      <alignment horizontal="left"/>
    </xf>
    <xf numFmtId="0" fontId="0" fillId="2" borderId="0" xfId="0" applyFill="1" applyAlignment="1">
      <alignment horizontal="center"/>
    </xf>
    <xf numFmtId="0" fontId="0" fillId="0" borderId="0" xfId="0" applyNumberFormat="1"/>
  </cellXfs>
  <cellStyles count="1">
    <cellStyle name="Normal" xfId="0" builtinId="0"/>
  </cellStyles>
  <dxfs count="74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color rgb="FFFFC000"/>
      </font>
      <border diagonalUp="0" diagonalDown="0">
        <left style="thin">
          <color auto="1"/>
        </left>
        <right style="thin">
          <color auto="1"/>
        </right>
        <top style="thin">
          <color auto="1"/>
        </top>
        <bottom style="thin">
          <color auto="1"/>
        </bottom>
        <vertical/>
        <horizontal/>
      </border>
    </dxf>
    <dxf>
      <font>
        <sz val="12"/>
        <color rgb="FFFFC000"/>
      </font>
      <fill>
        <patternFill patternType="solid">
          <bgColor theme="1"/>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category_slicer" pivot="0" table="0" count="10" xr9:uid="{7C56C8E6-3DDB-4D96-82A9-18F44A5F2985}">
      <tableStyleElement type="wholeTable" dxfId="742"/>
      <tableStyleElement type="headerRow" dxfId="74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category_slicer">
        <x14:slicerStyle name="category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Worksheet.xlsx]PIVOT_TABLE!PivotTable7</c:name>
    <c:fmtId val="11"/>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cap="none" spc="0">
                <a:ln w="0"/>
                <a:solidFill>
                  <a:srgbClr val="FFC000"/>
                </a:solidFill>
                <a:effectLst>
                  <a:outerShdw blurRad="38100" dist="19050" dir="2700000" algn="tl" rotWithShape="0">
                    <a:schemeClr val="dk1">
                      <a:alpha val="40000"/>
                    </a:schemeClr>
                  </a:outerShdw>
                </a:effectLst>
              </a:rPr>
              <a:t>Manufacturing</a:t>
            </a:r>
            <a:r>
              <a:rPr lang="en-US" sz="1100" b="1" cap="none" spc="0" baseline="0">
                <a:ln w="0"/>
                <a:solidFill>
                  <a:srgbClr val="FFC000"/>
                </a:solidFill>
                <a:effectLst>
                  <a:outerShdw blurRad="38100" dist="19050" dir="2700000" algn="tl" rotWithShape="0">
                    <a:schemeClr val="dk1">
                      <a:alpha val="40000"/>
                    </a:schemeClr>
                  </a:outerShdw>
                </a:effectLst>
              </a:rPr>
              <a:t> Cost by Supplier</a:t>
            </a:r>
            <a:endParaRPr lang="en-US" sz="1100" b="1">
              <a:solidFill>
                <a:srgbClr val="FFC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PIVOT_TABLE!$B$152</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PIVOT_TABLE!$A$153:$A$157</c:f>
              <c:strCache>
                <c:ptCount val="5"/>
                <c:pt idx="0">
                  <c:v>Supplier 1</c:v>
                </c:pt>
                <c:pt idx="1">
                  <c:v>Supplier 2</c:v>
                </c:pt>
                <c:pt idx="2">
                  <c:v>Supplier 3</c:v>
                </c:pt>
                <c:pt idx="3">
                  <c:v>Supplier 4</c:v>
                </c:pt>
                <c:pt idx="4">
                  <c:v>Supplier 5</c:v>
                </c:pt>
              </c:strCache>
            </c:strRef>
          </c:cat>
          <c:val>
            <c:numRef>
              <c:f>PIVOT_TABLE!$B$153:$B$157</c:f>
              <c:numCache>
                <c:formatCode>0</c:formatCode>
                <c:ptCount val="5"/>
                <c:pt idx="0">
                  <c:v>213</c:v>
                </c:pt>
                <c:pt idx="1">
                  <c:v>469</c:v>
                </c:pt>
                <c:pt idx="2">
                  <c:v>230</c:v>
                </c:pt>
                <c:pt idx="3">
                  <c:v>590</c:v>
                </c:pt>
                <c:pt idx="4">
                  <c:v>145</c:v>
                </c:pt>
              </c:numCache>
            </c:numRef>
          </c:val>
          <c:extLst>
            <c:ext xmlns:c16="http://schemas.microsoft.com/office/drawing/2014/chart" uri="{C3380CC4-5D6E-409C-BE32-E72D297353CC}">
              <c16:uniqueId val="{00000000-8671-48E0-AF8E-98E3775E5801}"/>
            </c:ext>
          </c:extLst>
        </c:ser>
        <c:dLbls>
          <c:dLblPos val="outEnd"/>
          <c:showLegendKey val="0"/>
          <c:showVal val="1"/>
          <c:showCatName val="0"/>
          <c:showSerName val="0"/>
          <c:showPercent val="0"/>
          <c:showBubbleSize val="0"/>
        </c:dLbls>
        <c:gapWidth val="219"/>
        <c:overlap val="-27"/>
        <c:axId val="577955631"/>
        <c:axId val="577956111"/>
      </c:barChart>
      <c:catAx>
        <c:axId val="577955631"/>
        <c:scaling>
          <c:orientation val="minMax"/>
        </c:scaling>
        <c:delete val="0"/>
        <c:axPos val="b"/>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577956111"/>
        <c:crosses val="autoZero"/>
        <c:auto val="1"/>
        <c:lblAlgn val="ctr"/>
        <c:lblOffset val="100"/>
        <c:noMultiLvlLbl val="0"/>
      </c:catAx>
      <c:valAx>
        <c:axId val="577956111"/>
        <c:scaling>
          <c:orientation val="minMax"/>
        </c:scaling>
        <c:delete val="1"/>
        <c:axPos val="l"/>
        <c:numFmt formatCode="0" sourceLinked="1"/>
        <c:majorTickMark val="none"/>
        <c:minorTickMark val="none"/>
        <c:tickLblPos val="nextTo"/>
        <c:crossAx val="57795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Worksheet.xlsx]PIVOT_TABLE!PivotTable26</c:name>
    <c:fmtId val="11"/>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cap="none" spc="0">
                <a:ln w="0"/>
                <a:solidFill>
                  <a:srgbClr val="FFC000"/>
                </a:solidFill>
                <a:effectLst>
                  <a:outerShdw blurRad="38100" dist="19050" dir="2700000" algn="tl" rotWithShape="0">
                    <a:schemeClr val="dk1">
                      <a:alpha val="40000"/>
                    </a:schemeClr>
                  </a:outerShdw>
                </a:effectLst>
              </a:rPr>
              <a:t>Supplier</a:t>
            </a:r>
            <a:r>
              <a:rPr lang="en-US" sz="1100" b="1" cap="none" spc="0" baseline="0">
                <a:ln w="0"/>
                <a:solidFill>
                  <a:srgbClr val="FFC000"/>
                </a:solidFill>
                <a:effectLst>
                  <a:outerShdw blurRad="38100" dist="19050" dir="2700000" algn="tl" rotWithShape="0">
                    <a:schemeClr val="dk1">
                      <a:alpha val="40000"/>
                    </a:schemeClr>
                  </a:outerShdw>
                </a:effectLst>
              </a:rPr>
              <a:t> - Inspection Result</a:t>
            </a:r>
            <a:endParaRPr lang="en-US" sz="1100" b="1">
              <a:solidFill>
                <a:srgbClr val="FFC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2">
                      <a:lumMod val="1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2">
                      <a:lumMod val="1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2">
                      <a:lumMod val="1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2">
                      <a:lumMod val="1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2">
                      <a:lumMod val="1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2">
                      <a:lumMod val="1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2">
                      <a:lumMod val="1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PIVOT_TABLE!$B$163:$B$164</c:f>
              <c:strCache>
                <c:ptCount val="1"/>
                <c:pt idx="0">
                  <c:v>Fail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PIVOT_TABLE!$A$165:$A$169</c:f>
              <c:strCache>
                <c:ptCount val="5"/>
                <c:pt idx="0">
                  <c:v>Supplier 1</c:v>
                </c:pt>
                <c:pt idx="1">
                  <c:v>Supplier 2</c:v>
                </c:pt>
                <c:pt idx="2">
                  <c:v>Supplier 3</c:v>
                </c:pt>
                <c:pt idx="3">
                  <c:v>Supplier 4</c:v>
                </c:pt>
                <c:pt idx="4">
                  <c:v>Supplier 5</c:v>
                </c:pt>
              </c:strCache>
            </c:strRef>
          </c:cat>
          <c:val>
            <c:numRef>
              <c:f>PIVOT_TABLE!$B$165:$B$169</c:f>
              <c:numCache>
                <c:formatCode>General</c:formatCode>
                <c:ptCount val="5"/>
                <c:pt idx="0">
                  <c:v>1</c:v>
                </c:pt>
                <c:pt idx="1">
                  <c:v>4</c:v>
                </c:pt>
                <c:pt idx="2">
                  <c:v>1</c:v>
                </c:pt>
                <c:pt idx="3">
                  <c:v>7</c:v>
                </c:pt>
              </c:numCache>
            </c:numRef>
          </c:val>
          <c:extLst>
            <c:ext xmlns:c16="http://schemas.microsoft.com/office/drawing/2014/chart" uri="{C3380CC4-5D6E-409C-BE32-E72D297353CC}">
              <c16:uniqueId val="{00000000-16FA-4784-BE02-D4AA7266040E}"/>
            </c:ext>
          </c:extLst>
        </c:ser>
        <c:ser>
          <c:idx val="1"/>
          <c:order val="1"/>
          <c:tx>
            <c:strRef>
              <c:f>PIVOT_TABLE!$C$163:$C$164</c:f>
              <c:strCache>
                <c:ptCount val="1"/>
                <c:pt idx="0">
                  <c:v>Pass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tx1">
                        <a:lumMod val="95000"/>
                        <a:lumOff val="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PIVOT_TABLE!$A$165:$A$169</c:f>
              <c:strCache>
                <c:ptCount val="5"/>
                <c:pt idx="0">
                  <c:v>Supplier 1</c:v>
                </c:pt>
                <c:pt idx="1">
                  <c:v>Supplier 2</c:v>
                </c:pt>
                <c:pt idx="2">
                  <c:v>Supplier 3</c:v>
                </c:pt>
                <c:pt idx="3">
                  <c:v>Supplier 4</c:v>
                </c:pt>
                <c:pt idx="4">
                  <c:v>Supplier 5</c:v>
                </c:pt>
              </c:strCache>
            </c:strRef>
          </c:cat>
          <c:val>
            <c:numRef>
              <c:f>PIVOT_TABLE!$C$165:$C$169</c:f>
              <c:numCache>
                <c:formatCode>General</c:formatCode>
                <c:ptCount val="5"/>
                <c:pt idx="0">
                  <c:v>3</c:v>
                </c:pt>
                <c:pt idx="1">
                  <c:v>2</c:v>
                </c:pt>
                <c:pt idx="4">
                  <c:v>1</c:v>
                </c:pt>
              </c:numCache>
            </c:numRef>
          </c:val>
          <c:extLst>
            <c:ext xmlns:c16="http://schemas.microsoft.com/office/drawing/2014/chart" uri="{C3380CC4-5D6E-409C-BE32-E72D297353CC}">
              <c16:uniqueId val="{00000001-16FA-4784-BE02-D4AA7266040E}"/>
            </c:ext>
          </c:extLst>
        </c:ser>
        <c:ser>
          <c:idx val="2"/>
          <c:order val="2"/>
          <c:tx>
            <c:strRef>
              <c:f>PIVOT_TABLE!$D$163:$D$164</c:f>
              <c:strCache>
                <c:ptCount val="1"/>
                <c:pt idx="0">
                  <c:v>Pending</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bg2">
                        <a:lumMod val="1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PIVOT_TABLE!$A$165:$A$169</c:f>
              <c:strCache>
                <c:ptCount val="5"/>
                <c:pt idx="0">
                  <c:v>Supplier 1</c:v>
                </c:pt>
                <c:pt idx="1">
                  <c:v>Supplier 2</c:v>
                </c:pt>
                <c:pt idx="2">
                  <c:v>Supplier 3</c:v>
                </c:pt>
                <c:pt idx="3">
                  <c:v>Supplier 4</c:v>
                </c:pt>
                <c:pt idx="4">
                  <c:v>Supplier 5</c:v>
                </c:pt>
              </c:strCache>
            </c:strRef>
          </c:cat>
          <c:val>
            <c:numRef>
              <c:f>PIVOT_TABLE!$D$165:$D$169</c:f>
              <c:numCache>
                <c:formatCode>General</c:formatCode>
                <c:ptCount val="5"/>
                <c:pt idx="0">
                  <c:v>1</c:v>
                </c:pt>
                <c:pt idx="1">
                  <c:v>4</c:v>
                </c:pt>
                <c:pt idx="2">
                  <c:v>4</c:v>
                </c:pt>
                <c:pt idx="3">
                  <c:v>3</c:v>
                </c:pt>
                <c:pt idx="4">
                  <c:v>3</c:v>
                </c:pt>
              </c:numCache>
            </c:numRef>
          </c:val>
          <c:extLst>
            <c:ext xmlns:c16="http://schemas.microsoft.com/office/drawing/2014/chart" uri="{C3380CC4-5D6E-409C-BE32-E72D297353CC}">
              <c16:uniqueId val="{00000002-16FA-4784-BE02-D4AA7266040E}"/>
            </c:ext>
          </c:extLst>
        </c:ser>
        <c:dLbls>
          <c:dLblPos val="ctr"/>
          <c:showLegendKey val="0"/>
          <c:showVal val="1"/>
          <c:showCatName val="0"/>
          <c:showSerName val="0"/>
          <c:showPercent val="0"/>
          <c:showBubbleSize val="0"/>
        </c:dLbls>
        <c:gapWidth val="150"/>
        <c:overlap val="100"/>
        <c:axId val="577981551"/>
        <c:axId val="578004111"/>
      </c:barChart>
      <c:catAx>
        <c:axId val="577981551"/>
        <c:scaling>
          <c:orientation val="minMax"/>
        </c:scaling>
        <c:delete val="0"/>
        <c:axPos val="b"/>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578004111"/>
        <c:crosses val="autoZero"/>
        <c:auto val="1"/>
        <c:lblAlgn val="ctr"/>
        <c:lblOffset val="100"/>
        <c:noMultiLvlLbl val="0"/>
      </c:catAx>
      <c:valAx>
        <c:axId val="578004111"/>
        <c:scaling>
          <c:orientation val="minMax"/>
        </c:scaling>
        <c:delete val="1"/>
        <c:axPos val="l"/>
        <c:numFmt formatCode="General" sourceLinked="1"/>
        <c:majorTickMark val="none"/>
        <c:minorTickMark val="none"/>
        <c:tickLblPos val="nextTo"/>
        <c:crossAx val="577981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Worksheet.xlsx]PIVOT_TABLE!PivotTable21</c:name>
    <c:fmtId val="11"/>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cap="none" spc="0">
                <a:ln w="0"/>
                <a:solidFill>
                  <a:srgbClr val="FFC000"/>
                </a:solidFill>
                <a:effectLst>
                  <a:outerShdw blurRad="38100" dist="19050" dir="2700000" algn="tl" rotWithShape="0">
                    <a:schemeClr val="dk1">
                      <a:alpha val="40000"/>
                    </a:schemeClr>
                  </a:outerShdw>
                </a:effectLst>
              </a:rPr>
              <a:t>Supplier's Shipping vs Lead Time</a:t>
            </a:r>
            <a:r>
              <a:rPr lang="en-US" sz="1100" b="1" cap="none" spc="0" baseline="0">
                <a:ln w="0"/>
                <a:solidFill>
                  <a:srgbClr val="FFC000"/>
                </a:solidFill>
                <a:effectLst>
                  <a:outerShdw blurRad="38100" dist="19050" dir="2700000" algn="tl" rotWithShape="0">
                    <a:schemeClr val="dk1">
                      <a:alpha val="40000"/>
                    </a:schemeClr>
                  </a:outerShdw>
                </a:effectLst>
              </a:rPr>
              <a:t> vs Manufacturing Lead Time</a:t>
            </a:r>
            <a:r>
              <a:rPr lang="en-US" sz="1100" b="1" cap="none" spc="0">
                <a:ln w="0"/>
                <a:solidFill>
                  <a:srgbClr val="FFC000"/>
                </a:solidFill>
                <a:effectLst>
                  <a:outerShdw blurRad="38100" dist="19050" dir="2700000" algn="tl" rotWithShape="0">
                    <a:schemeClr val="dk1">
                      <a:alpha val="40000"/>
                    </a:schemeClr>
                  </a:outerShdw>
                </a:effectLst>
              </a:rPr>
              <a:t> </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PIVOT_TABLE!$B$173</c:f>
              <c:strCache>
                <c:ptCount val="1"/>
                <c:pt idx="0">
                  <c:v>Avg Shipping Time</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PIVOT_TABLE!$A$174:$A$178</c:f>
              <c:strCache>
                <c:ptCount val="5"/>
                <c:pt idx="0">
                  <c:v>Supplier 1</c:v>
                </c:pt>
                <c:pt idx="1">
                  <c:v>Supplier 2</c:v>
                </c:pt>
                <c:pt idx="2">
                  <c:v>Supplier 3</c:v>
                </c:pt>
                <c:pt idx="3">
                  <c:v>Supplier 4</c:v>
                </c:pt>
                <c:pt idx="4">
                  <c:v>Supplier 5</c:v>
                </c:pt>
              </c:strCache>
            </c:strRef>
          </c:cat>
          <c:val>
            <c:numRef>
              <c:f>PIVOT_TABLE!$B$174:$B$178</c:f>
              <c:numCache>
                <c:formatCode>0</c:formatCode>
                <c:ptCount val="5"/>
                <c:pt idx="0">
                  <c:v>4.2</c:v>
                </c:pt>
                <c:pt idx="1">
                  <c:v>5.9</c:v>
                </c:pt>
                <c:pt idx="2">
                  <c:v>5.6</c:v>
                </c:pt>
                <c:pt idx="3">
                  <c:v>5.8</c:v>
                </c:pt>
                <c:pt idx="4">
                  <c:v>6.25</c:v>
                </c:pt>
              </c:numCache>
            </c:numRef>
          </c:val>
          <c:extLst>
            <c:ext xmlns:c16="http://schemas.microsoft.com/office/drawing/2014/chart" uri="{C3380CC4-5D6E-409C-BE32-E72D297353CC}">
              <c16:uniqueId val="{00000000-330B-44D5-8343-EF2755FEA18C}"/>
            </c:ext>
          </c:extLst>
        </c:ser>
        <c:ser>
          <c:idx val="1"/>
          <c:order val="1"/>
          <c:tx>
            <c:strRef>
              <c:f>PIVOT_TABLE!$C$173</c:f>
              <c:strCache>
                <c:ptCount val="1"/>
                <c:pt idx="0">
                  <c:v>Average Supplier Lead Time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PIVOT_TABLE!$A$174:$A$178</c:f>
              <c:strCache>
                <c:ptCount val="5"/>
                <c:pt idx="0">
                  <c:v>Supplier 1</c:v>
                </c:pt>
                <c:pt idx="1">
                  <c:v>Supplier 2</c:v>
                </c:pt>
                <c:pt idx="2">
                  <c:v>Supplier 3</c:v>
                </c:pt>
                <c:pt idx="3">
                  <c:v>Supplier 4</c:v>
                </c:pt>
                <c:pt idx="4">
                  <c:v>Supplier 5</c:v>
                </c:pt>
              </c:strCache>
            </c:strRef>
          </c:cat>
          <c:val>
            <c:numRef>
              <c:f>PIVOT_TABLE!$C$174:$C$178</c:f>
              <c:numCache>
                <c:formatCode>0</c:formatCode>
                <c:ptCount val="5"/>
                <c:pt idx="0">
                  <c:v>21.2</c:v>
                </c:pt>
                <c:pt idx="1">
                  <c:v>21</c:v>
                </c:pt>
                <c:pt idx="2">
                  <c:v>21.4</c:v>
                </c:pt>
                <c:pt idx="3">
                  <c:v>14.5</c:v>
                </c:pt>
                <c:pt idx="4">
                  <c:v>17</c:v>
                </c:pt>
              </c:numCache>
            </c:numRef>
          </c:val>
          <c:extLst>
            <c:ext xmlns:c16="http://schemas.microsoft.com/office/drawing/2014/chart" uri="{C3380CC4-5D6E-409C-BE32-E72D297353CC}">
              <c16:uniqueId val="{00000001-330B-44D5-8343-EF2755FEA18C}"/>
            </c:ext>
          </c:extLst>
        </c:ser>
        <c:ser>
          <c:idx val="2"/>
          <c:order val="2"/>
          <c:tx>
            <c:strRef>
              <c:f>PIVOT_TABLE!$D$173</c:f>
              <c:strCache>
                <c:ptCount val="1"/>
                <c:pt idx="0">
                  <c:v>Average Manufacturing Lead Time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PIVOT_TABLE!$A$174:$A$178</c:f>
              <c:strCache>
                <c:ptCount val="5"/>
                <c:pt idx="0">
                  <c:v>Supplier 1</c:v>
                </c:pt>
                <c:pt idx="1">
                  <c:v>Supplier 2</c:v>
                </c:pt>
                <c:pt idx="2">
                  <c:v>Supplier 3</c:v>
                </c:pt>
                <c:pt idx="3">
                  <c:v>Supplier 4</c:v>
                </c:pt>
                <c:pt idx="4">
                  <c:v>Supplier 5</c:v>
                </c:pt>
              </c:strCache>
            </c:strRef>
          </c:cat>
          <c:val>
            <c:numRef>
              <c:f>PIVOT_TABLE!$D$174:$D$178</c:f>
              <c:numCache>
                <c:formatCode>0</c:formatCode>
                <c:ptCount val="5"/>
                <c:pt idx="0">
                  <c:v>16.399999999999999</c:v>
                </c:pt>
                <c:pt idx="1">
                  <c:v>14.1</c:v>
                </c:pt>
                <c:pt idx="2">
                  <c:v>16.399999999999999</c:v>
                </c:pt>
                <c:pt idx="3">
                  <c:v>18.100000000000001</c:v>
                </c:pt>
                <c:pt idx="4">
                  <c:v>23.5</c:v>
                </c:pt>
              </c:numCache>
            </c:numRef>
          </c:val>
          <c:extLst>
            <c:ext xmlns:c16="http://schemas.microsoft.com/office/drawing/2014/chart" uri="{C3380CC4-5D6E-409C-BE32-E72D297353CC}">
              <c16:uniqueId val="{00000002-330B-44D5-8343-EF2755FEA18C}"/>
            </c:ext>
          </c:extLst>
        </c:ser>
        <c:dLbls>
          <c:dLblPos val="outEnd"/>
          <c:showLegendKey val="0"/>
          <c:showVal val="1"/>
          <c:showCatName val="0"/>
          <c:showSerName val="0"/>
          <c:showPercent val="0"/>
          <c:showBubbleSize val="0"/>
        </c:dLbls>
        <c:gapWidth val="219"/>
        <c:overlap val="-27"/>
        <c:axId val="577987311"/>
        <c:axId val="577990671"/>
      </c:barChart>
      <c:catAx>
        <c:axId val="577987311"/>
        <c:scaling>
          <c:orientation val="minMax"/>
        </c:scaling>
        <c:delete val="0"/>
        <c:axPos val="b"/>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577990671"/>
        <c:crosses val="autoZero"/>
        <c:auto val="1"/>
        <c:lblAlgn val="ctr"/>
        <c:lblOffset val="100"/>
        <c:noMultiLvlLbl val="0"/>
      </c:catAx>
      <c:valAx>
        <c:axId val="577990671"/>
        <c:scaling>
          <c:orientation val="minMax"/>
        </c:scaling>
        <c:delete val="1"/>
        <c:axPos val="l"/>
        <c:numFmt formatCode="0" sourceLinked="1"/>
        <c:majorTickMark val="none"/>
        <c:minorTickMark val="none"/>
        <c:tickLblPos val="nextTo"/>
        <c:crossAx val="577987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Worksheet.xlsx]PIVOT_TABLE!PivotTable8</c:name>
    <c:fmtId val="12"/>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cap="none" spc="0">
                <a:ln w="0"/>
                <a:solidFill>
                  <a:srgbClr val="FFC000"/>
                </a:solidFill>
                <a:effectLst>
                  <a:outerShdw blurRad="38100" dist="19050" dir="2700000" algn="tl" rotWithShape="0">
                    <a:schemeClr val="dk1">
                      <a:alpha val="40000"/>
                    </a:schemeClr>
                  </a:outerShdw>
                </a:effectLst>
              </a:rPr>
              <a:t>Avg</a:t>
            </a:r>
            <a:r>
              <a:rPr lang="en-US" sz="1100" b="1" cap="none" spc="0" baseline="0">
                <a:ln w="0"/>
                <a:solidFill>
                  <a:srgbClr val="FFC000"/>
                </a:solidFill>
                <a:effectLst>
                  <a:outerShdw blurRad="38100" dist="19050" dir="2700000" algn="tl" rotWithShape="0">
                    <a:schemeClr val="dk1">
                      <a:alpha val="40000"/>
                    </a:schemeClr>
                  </a:outerShdw>
                </a:effectLst>
              </a:rPr>
              <a:t> Shipping Cost by Carrier</a:t>
            </a:r>
            <a:endParaRPr lang="en-US" sz="1100" b="1">
              <a:solidFill>
                <a:srgbClr val="FFC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PIVOT_TABLE!$B$183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PIVOT_TABLE!$A$184:$A$186</c:f>
              <c:strCache>
                <c:ptCount val="3"/>
                <c:pt idx="0">
                  <c:v>Carrier A</c:v>
                </c:pt>
                <c:pt idx="1">
                  <c:v>Carrier B</c:v>
                </c:pt>
                <c:pt idx="2">
                  <c:v>Carrier C</c:v>
                </c:pt>
              </c:strCache>
            </c:strRef>
          </c:cat>
          <c:val>
            <c:numRef>
              <c:f>PIVOT_TABLE!$B$184:$B$186</c:f>
              <c:numCache>
                <c:formatCode>0</c:formatCode>
                <c:ptCount val="3"/>
                <c:pt idx="0">
                  <c:v>6.2222222222222223</c:v>
                </c:pt>
                <c:pt idx="1">
                  <c:v>5.4736842105263159</c:v>
                </c:pt>
                <c:pt idx="2">
                  <c:v>6.5</c:v>
                </c:pt>
              </c:numCache>
            </c:numRef>
          </c:val>
          <c:extLst>
            <c:ext xmlns:c16="http://schemas.microsoft.com/office/drawing/2014/chart" uri="{C3380CC4-5D6E-409C-BE32-E72D297353CC}">
              <c16:uniqueId val="{00000000-E325-44A5-9E33-AE4FCF005637}"/>
            </c:ext>
          </c:extLst>
        </c:ser>
        <c:dLbls>
          <c:dLblPos val="outEnd"/>
          <c:showLegendKey val="0"/>
          <c:showVal val="1"/>
          <c:showCatName val="0"/>
          <c:showSerName val="0"/>
          <c:showPercent val="0"/>
          <c:showBubbleSize val="0"/>
        </c:dLbls>
        <c:gapWidth val="219"/>
        <c:overlap val="-27"/>
        <c:axId val="195555519"/>
        <c:axId val="195554559"/>
      </c:barChart>
      <c:catAx>
        <c:axId val="195555519"/>
        <c:scaling>
          <c:orientation val="minMax"/>
        </c:scaling>
        <c:delete val="0"/>
        <c:axPos val="b"/>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195554559"/>
        <c:crosses val="autoZero"/>
        <c:auto val="1"/>
        <c:lblAlgn val="ctr"/>
        <c:lblOffset val="100"/>
        <c:noMultiLvlLbl val="0"/>
      </c:catAx>
      <c:valAx>
        <c:axId val="195554559"/>
        <c:scaling>
          <c:orientation val="minMax"/>
        </c:scaling>
        <c:delete val="1"/>
        <c:axPos val="l"/>
        <c:numFmt formatCode="0" sourceLinked="1"/>
        <c:majorTickMark val="none"/>
        <c:minorTickMark val="none"/>
        <c:tickLblPos val="nextTo"/>
        <c:crossAx val="19555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Worksheet.xlsx]PIVOT_TABLE!PivotTable15</c:name>
    <c:fmtId val="11"/>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cap="none" spc="0">
                <a:ln w="0"/>
                <a:solidFill>
                  <a:srgbClr val="FFC000"/>
                </a:solidFill>
                <a:effectLst>
                  <a:outerShdw blurRad="38100" dist="19050" dir="2700000" algn="tl" rotWithShape="0">
                    <a:schemeClr val="dk1">
                      <a:alpha val="40000"/>
                    </a:schemeClr>
                  </a:outerShdw>
                </a:effectLst>
              </a:rPr>
              <a:t>Avg</a:t>
            </a:r>
            <a:r>
              <a:rPr lang="en-US" sz="1100" b="1" cap="none" spc="0" baseline="0">
                <a:ln w="0"/>
                <a:solidFill>
                  <a:srgbClr val="FFC000"/>
                </a:solidFill>
                <a:effectLst>
                  <a:outerShdw blurRad="38100" dist="19050" dir="2700000" algn="tl" rotWithShape="0">
                    <a:schemeClr val="dk1">
                      <a:alpha val="40000"/>
                    </a:schemeClr>
                  </a:outerShdw>
                </a:effectLst>
              </a:rPr>
              <a:t> Shipping Cost by Routes</a:t>
            </a:r>
            <a:endParaRPr lang="en-US" sz="1100" b="1">
              <a:solidFill>
                <a:srgbClr val="FFC000"/>
              </a:solidFill>
            </a:endParaRPr>
          </a:p>
        </c:rich>
      </c:tx>
      <c:overlay val="0"/>
      <c:spPr>
        <a:solidFill>
          <a:schemeClr val="tx1"/>
        </a:solid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PIVOT_TABLE!$B$191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PIVOT_TABLE!$A$192:$A$194</c:f>
              <c:strCache>
                <c:ptCount val="3"/>
                <c:pt idx="0">
                  <c:v>Route A</c:v>
                </c:pt>
                <c:pt idx="1">
                  <c:v>Route B</c:v>
                </c:pt>
                <c:pt idx="2">
                  <c:v>Route C</c:v>
                </c:pt>
              </c:strCache>
            </c:strRef>
          </c:cat>
          <c:val>
            <c:numRef>
              <c:f>PIVOT_TABLE!$B$192:$B$194</c:f>
              <c:numCache>
                <c:formatCode>0</c:formatCode>
                <c:ptCount val="3"/>
                <c:pt idx="0">
                  <c:v>6.1875</c:v>
                </c:pt>
                <c:pt idx="1">
                  <c:v>4.416666666666667</c:v>
                </c:pt>
                <c:pt idx="2">
                  <c:v>7.833333333333333</c:v>
                </c:pt>
              </c:numCache>
            </c:numRef>
          </c:val>
          <c:extLst>
            <c:ext xmlns:c16="http://schemas.microsoft.com/office/drawing/2014/chart" uri="{C3380CC4-5D6E-409C-BE32-E72D297353CC}">
              <c16:uniqueId val="{00000000-8C59-4807-9E5E-3D7D1388C50F}"/>
            </c:ext>
          </c:extLst>
        </c:ser>
        <c:dLbls>
          <c:dLblPos val="outEnd"/>
          <c:showLegendKey val="0"/>
          <c:showVal val="1"/>
          <c:showCatName val="0"/>
          <c:showSerName val="0"/>
          <c:showPercent val="0"/>
          <c:showBubbleSize val="0"/>
        </c:dLbls>
        <c:gapWidth val="219"/>
        <c:overlap val="-27"/>
        <c:axId val="832089103"/>
        <c:axId val="832086223"/>
      </c:barChart>
      <c:catAx>
        <c:axId val="832089103"/>
        <c:scaling>
          <c:orientation val="minMax"/>
        </c:scaling>
        <c:delete val="0"/>
        <c:axPos val="b"/>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832086223"/>
        <c:crosses val="autoZero"/>
        <c:auto val="1"/>
        <c:lblAlgn val="ctr"/>
        <c:lblOffset val="100"/>
        <c:noMultiLvlLbl val="0"/>
      </c:catAx>
      <c:valAx>
        <c:axId val="832086223"/>
        <c:scaling>
          <c:orientation val="minMax"/>
        </c:scaling>
        <c:delete val="1"/>
        <c:axPos val="l"/>
        <c:numFmt formatCode="0" sourceLinked="1"/>
        <c:majorTickMark val="none"/>
        <c:minorTickMark val="none"/>
        <c:tickLblPos val="nextTo"/>
        <c:crossAx val="83208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Worksheet.xlsx]PIVOT_TABLE!PivotTable9</c:name>
    <c:fmtId val="11"/>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cap="none" spc="0">
                <a:ln w="0"/>
                <a:solidFill>
                  <a:srgbClr val="FFC000"/>
                </a:solidFill>
                <a:effectLst>
                  <a:outerShdw blurRad="38100" dist="19050" dir="2700000" algn="tl" rotWithShape="0">
                    <a:schemeClr val="dk1">
                      <a:alpha val="40000"/>
                    </a:schemeClr>
                  </a:outerShdw>
                </a:effectLst>
              </a:rPr>
              <a:t>Top</a:t>
            </a:r>
            <a:r>
              <a:rPr lang="en-US" sz="1100" b="1" cap="none" spc="0" baseline="0">
                <a:ln w="0"/>
                <a:solidFill>
                  <a:srgbClr val="FFC000"/>
                </a:solidFill>
                <a:effectLst>
                  <a:outerShdw blurRad="38100" dist="19050" dir="2700000" algn="tl" rotWithShape="0">
                    <a:schemeClr val="dk1">
                      <a:alpha val="40000"/>
                    </a:schemeClr>
                  </a:outerShdw>
                </a:effectLst>
              </a:rPr>
              <a:t> 5 Products by Production Volume</a:t>
            </a:r>
            <a:endParaRPr lang="en-US" sz="1100" b="1">
              <a:solidFill>
                <a:srgbClr val="FFC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PIVOT_TABLE!$B$84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PIVOT_TABLE!$A$85:$A$90</c:f>
              <c:strCache>
                <c:ptCount val="5"/>
                <c:pt idx="0">
                  <c:v>SKU76</c:v>
                </c:pt>
                <c:pt idx="1">
                  <c:v>SKU2</c:v>
                </c:pt>
                <c:pt idx="2">
                  <c:v>SKU25</c:v>
                </c:pt>
                <c:pt idx="3">
                  <c:v>SKU99</c:v>
                </c:pt>
                <c:pt idx="4">
                  <c:v>SKU74</c:v>
                </c:pt>
              </c:strCache>
            </c:strRef>
          </c:cat>
          <c:val>
            <c:numRef>
              <c:f>PIVOT_TABLE!$B$85:$B$90</c:f>
              <c:numCache>
                <c:formatCode>General</c:formatCode>
                <c:ptCount val="5"/>
                <c:pt idx="0">
                  <c:v>985</c:v>
                </c:pt>
                <c:pt idx="1">
                  <c:v>971</c:v>
                </c:pt>
                <c:pt idx="2">
                  <c:v>934</c:v>
                </c:pt>
                <c:pt idx="3">
                  <c:v>921</c:v>
                </c:pt>
                <c:pt idx="4">
                  <c:v>919</c:v>
                </c:pt>
              </c:numCache>
            </c:numRef>
          </c:val>
          <c:extLst>
            <c:ext xmlns:c16="http://schemas.microsoft.com/office/drawing/2014/chart" uri="{C3380CC4-5D6E-409C-BE32-E72D297353CC}">
              <c16:uniqueId val="{00000000-B7B6-48F0-A6E2-D0639E9BAD32}"/>
            </c:ext>
          </c:extLst>
        </c:ser>
        <c:dLbls>
          <c:dLblPos val="outEnd"/>
          <c:showLegendKey val="0"/>
          <c:showVal val="1"/>
          <c:showCatName val="0"/>
          <c:showSerName val="0"/>
          <c:showPercent val="0"/>
          <c:showBubbleSize val="0"/>
        </c:dLbls>
        <c:gapWidth val="219"/>
        <c:overlap val="-27"/>
        <c:axId val="1886167359"/>
        <c:axId val="1886168319"/>
      </c:barChart>
      <c:catAx>
        <c:axId val="1886167359"/>
        <c:scaling>
          <c:orientation val="minMax"/>
        </c:scaling>
        <c:delete val="0"/>
        <c:axPos val="b"/>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1886168319"/>
        <c:crosses val="autoZero"/>
        <c:auto val="1"/>
        <c:lblAlgn val="ctr"/>
        <c:lblOffset val="100"/>
        <c:noMultiLvlLbl val="0"/>
      </c:catAx>
      <c:valAx>
        <c:axId val="1886168319"/>
        <c:scaling>
          <c:orientation val="minMax"/>
        </c:scaling>
        <c:delete val="1"/>
        <c:axPos val="l"/>
        <c:numFmt formatCode="General" sourceLinked="1"/>
        <c:majorTickMark val="none"/>
        <c:minorTickMark val="none"/>
        <c:tickLblPos val="nextTo"/>
        <c:crossAx val="188616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Worksheet.xlsx]PIVOT_TABLE!PivotTable10</c:name>
    <c:fmtId val="1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100" b="1">
                <a:solidFill>
                  <a:srgbClr val="FFC000"/>
                </a:solidFill>
              </a:rPr>
              <a:t>Bottom 5 Products by Production Volume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PIVOT_TABLE!$B$94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PIVOT_TABLE!$A$95:$A$100</c:f>
              <c:strCache>
                <c:ptCount val="5"/>
                <c:pt idx="0">
                  <c:v>SKU5</c:v>
                </c:pt>
                <c:pt idx="1">
                  <c:v>SKU48</c:v>
                </c:pt>
                <c:pt idx="2">
                  <c:v>SKU26</c:v>
                </c:pt>
                <c:pt idx="3">
                  <c:v>SKU43</c:v>
                </c:pt>
                <c:pt idx="4">
                  <c:v>SKU0</c:v>
                </c:pt>
              </c:strCache>
            </c:strRef>
          </c:cat>
          <c:val>
            <c:numRef>
              <c:f>PIVOT_TABLE!$B$95:$B$100</c:f>
              <c:numCache>
                <c:formatCode>General</c:formatCode>
                <c:ptCount val="5"/>
                <c:pt idx="0">
                  <c:v>104</c:v>
                </c:pt>
                <c:pt idx="1">
                  <c:v>109</c:v>
                </c:pt>
                <c:pt idx="2">
                  <c:v>171</c:v>
                </c:pt>
                <c:pt idx="3">
                  <c:v>206</c:v>
                </c:pt>
                <c:pt idx="4">
                  <c:v>215</c:v>
                </c:pt>
              </c:numCache>
            </c:numRef>
          </c:val>
          <c:extLst>
            <c:ext xmlns:c16="http://schemas.microsoft.com/office/drawing/2014/chart" uri="{C3380CC4-5D6E-409C-BE32-E72D297353CC}">
              <c16:uniqueId val="{00000000-DCD4-48E7-A85F-E596BC7C438A}"/>
            </c:ext>
          </c:extLst>
        </c:ser>
        <c:dLbls>
          <c:dLblPos val="outEnd"/>
          <c:showLegendKey val="0"/>
          <c:showVal val="1"/>
          <c:showCatName val="0"/>
          <c:showSerName val="0"/>
          <c:showPercent val="0"/>
          <c:showBubbleSize val="0"/>
        </c:dLbls>
        <c:gapWidth val="219"/>
        <c:overlap val="-27"/>
        <c:axId val="577979631"/>
        <c:axId val="577954671"/>
      </c:barChart>
      <c:catAx>
        <c:axId val="577979631"/>
        <c:scaling>
          <c:orientation val="minMax"/>
        </c:scaling>
        <c:delete val="0"/>
        <c:axPos val="b"/>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lang="en-US" sz="1000" b="0"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577954671"/>
        <c:crosses val="autoZero"/>
        <c:auto val="1"/>
        <c:lblAlgn val="ctr"/>
        <c:lblOffset val="100"/>
        <c:noMultiLvlLbl val="0"/>
      </c:catAx>
      <c:valAx>
        <c:axId val="577954671"/>
        <c:scaling>
          <c:orientation val="minMax"/>
        </c:scaling>
        <c:delete val="1"/>
        <c:axPos val="l"/>
        <c:numFmt formatCode="General" sourceLinked="1"/>
        <c:majorTickMark val="none"/>
        <c:minorTickMark val="none"/>
        <c:tickLblPos val="nextTo"/>
        <c:crossAx val="57797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Worksheet.xlsx]PIVOT_TABLE!PivotTable12</c:name>
    <c:fmtId val="14"/>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cap="none" spc="0">
                <a:ln w="0"/>
                <a:solidFill>
                  <a:srgbClr val="FFC000"/>
                </a:solidFill>
                <a:effectLst>
                  <a:outerShdw blurRad="38100" dist="19050" dir="2700000" algn="tl" rotWithShape="0">
                    <a:schemeClr val="dk1">
                      <a:alpha val="40000"/>
                    </a:schemeClr>
                  </a:outerShdw>
                </a:effectLst>
              </a:rPr>
              <a:t>Slowest to Produce SKU's</a:t>
            </a:r>
            <a:endParaRPr lang="en-US" sz="1100" b="1">
              <a:solidFill>
                <a:srgbClr val="FFC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
      </c:pivotFmt>
      <c:pivotFmt>
        <c:idx val="2"/>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
      </c:pivotFmt>
      <c:pivotFmt>
        <c:idx val="3"/>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
      </c:pivotFmt>
      <c:pivotFmt>
        <c:idx val="4"/>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
      </c:pivotFmt>
      <c:pivotFmt>
        <c:idx val="5"/>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
      </c:pivotFmt>
      <c:pivotFmt>
        <c:idx val="6"/>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
      </c:pivotFmt>
      <c:pivotFmt>
        <c:idx val="7"/>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PIVOT_TABLE!$B$115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PIVOT_TABLE!$A$116:$A$121</c:f>
              <c:strCache>
                <c:ptCount val="5"/>
                <c:pt idx="0">
                  <c:v>SKU51</c:v>
                </c:pt>
                <c:pt idx="1">
                  <c:v>SKU22</c:v>
                </c:pt>
                <c:pt idx="2">
                  <c:v>SKU54</c:v>
                </c:pt>
                <c:pt idx="3">
                  <c:v>SKU0</c:v>
                </c:pt>
                <c:pt idx="4">
                  <c:v>SKU30</c:v>
                </c:pt>
              </c:strCache>
            </c:strRef>
          </c:cat>
          <c:val>
            <c:numRef>
              <c:f>PIVOT_TABLE!$B$116:$B$121</c:f>
              <c:numCache>
                <c:formatCode>General</c:formatCode>
                <c:ptCount val="5"/>
                <c:pt idx="0">
                  <c:v>28</c:v>
                </c:pt>
                <c:pt idx="1">
                  <c:v>28</c:v>
                </c:pt>
                <c:pt idx="2">
                  <c:v>29</c:v>
                </c:pt>
                <c:pt idx="3">
                  <c:v>29</c:v>
                </c:pt>
                <c:pt idx="4">
                  <c:v>30</c:v>
                </c:pt>
              </c:numCache>
            </c:numRef>
          </c:val>
          <c:extLst>
            <c:ext xmlns:c16="http://schemas.microsoft.com/office/drawing/2014/chart" uri="{C3380CC4-5D6E-409C-BE32-E72D297353CC}">
              <c16:uniqueId val="{00000000-673B-4552-96DD-A2D48A464BAE}"/>
            </c:ext>
          </c:extLst>
        </c:ser>
        <c:dLbls>
          <c:dLblPos val="outEnd"/>
          <c:showLegendKey val="0"/>
          <c:showVal val="1"/>
          <c:showCatName val="0"/>
          <c:showSerName val="0"/>
          <c:showPercent val="0"/>
          <c:showBubbleSize val="0"/>
        </c:dLbls>
        <c:gapWidth val="100"/>
        <c:overlap val="-24"/>
        <c:axId val="577956591"/>
        <c:axId val="577978191"/>
      </c:barChart>
      <c:catAx>
        <c:axId val="577956591"/>
        <c:scaling>
          <c:orientation val="minMax"/>
        </c:scaling>
        <c:delete val="0"/>
        <c:axPos val="l"/>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577978191"/>
        <c:crosses val="autoZero"/>
        <c:auto val="1"/>
        <c:lblAlgn val="ctr"/>
        <c:lblOffset val="100"/>
        <c:noMultiLvlLbl val="0"/>
      </c:catAx>
      <c:valAx>
        <c:axId val="577978191"/>
        <c:scaling>
          <c:orientation val="minMax"/>
        </c:scaling>
        <c:delete val="1"/>
        <c:axPos val="b"/>
        <c:numFmt formatCode="General" sourceLinked="1"/>
        <c:majorTickMark val="none"/>
        <c:minorTickMark val="none"/>
        <c:tickLblPos val="nextTo"/>
        <c:crossAx val="577956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Worksheet.xlsx]PIVOT_TABLE!PivotTable16</c:name>
    <c:fmtId val="11"/>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cap="none" spc="0">
                <a:ln w="0"/>
                <a:solidFill>
                  <a:srgbClr val="FFC000"/>
                </a:solidFill>
                <a:effectLst>
                  <a:outerShdw blurRad="38100" dist="19050" dir="2700000" algn="tl" rotWithShape="0">
                    <a:schemeClr val="dk1">
                      <a:alpha val="40000"/>
                    </a:schemeClr>
                  </a:outerShdw>
                </a:effectLst>
              </a:rPr>
              <a:t>Top</a:t>
            </a:r>
            <a:r>
              <a:rPr lang="en-US" sz="1100" b="1" cap="none" spc="0" baseline="0">
                <a:ln w="0"/>
                <a:solidFill>
                  <a:srgbClr val="FFC000"/>
                </a:solidFill>
                <a:effectLst>
                  <a:outerShdw blurRad="38100" dist="19050" dir="2700000" algn="tl" rotWithShape="0">
                    <a:schemeClr val="dk1">
                      <a:alpha val="40000"/>
                    </a:schemeClr>
                  </a:outerShdw>
                </a:effectLst>
              </a:rPr>
              <a:t> 5 Most Expensive SKU's (Cost)</a:t>
            </a:r>
            <a:endParaRPr lang="en-US" sz="1100" b="1" cap="none" spc="0">
              <a:ln w="0"/>
              <a:solidFill>
                <a:srgbClr val="FFC000"/>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PIVOT_TABLE!$B$140</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PIVOT_TABLE!$A$141:$A$146</c:f>
              <c:strCache>
                <c:ptCount val="5"/>
                <c:pt idx="0">
                  <c:v>SKU83</c:v>
                </c:pt>
                <c:pt idx="1">
                  <c:v>SKU68</c:v>
                </c:pt>
                <c:pt idx="2">
                  <c:v>SKU74</c:v>
                </c:pt>
                <c:pt idx="3">
                  <c:v>SKU61</c:v>
                </c:pt>
                <c:pt idx="4">
                  <c:v>SKU25</c:v>
                </c:pt>
              </c:strCache>
            </c:strRef>
          </c:cat>
          <c:val>
            <c:numRef>
              <c:f>PIVOT_TABLE!$B$141:$B$146</c:f>
              <c:numCache>
                <c:formatCode>General</c:formatCode>
                <c:ptCount val="5"/>
                <c:pt idx="0">
                  <c:v>98</c:v>
                </c:pt>
                <c:pt idx="1">
                  <c:v>97</c:v>
                </c:pt>
                <c:pt idx="2">
                  <c:v>81</c:v>
                </c:pt>
                <c:pt idx="3">
                  <c:v>79</c:v>
                </c:pt>
                <c:pt idx="4">
                  <c:v>78</c:v>
                </c:pt>
              </c:numCache>
            </c:numRef>
          </c:val>
          <c:extLst>
            <c:ext xmlns:c16="http://schemas.microsoft.com/office/drawing/2014/chart" uri="{C3380CC4-5D6E-409C-BE32-E72D297353CC}">
              <c16:uniqueId val="{00000000-BAEE-4F9F-97D8-BE804D6EC5FF}"/>
            </c:ext>
          </c:extLst>
        </c:ser>
        <c:dLbls>
          <c:dLblPos val="outEnd"/>
          <c:showLegendKey val="0"/>
          <c:showVal val="1"/>
          <c:showCatName val="0"/>
          <c:showSerName val="0"/>
          <c:showPercent val="0"/>
          <c:showBubbleSize val="0"/>
        </c:dLbls>
        <c:gapWidth val="219"/>
        <c:overlap val="-27"/>
        <c:axId val="577962831"/>
        <c:axId val="577967631"/>
      </c:barChart>
      <c:catAx>
        <c:axId val="577962831"/>
        <c:scaling>
          <c:orientation val="minMax"/>
        </c:scaling>
        <c:delete val="0"/>
        <c:axPos val="b"/>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cap="none" spc="0" baseline="0">
                <a:ln w="0">
                  <a:noFill/>
                </a:ln>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577967631"/>
        <c:crosses val="autoZero"/>
        <c:auto val="1"/>
        <c:lblAlgn val="ctr"/>
        <c:lblOffset val="100"/>
        <c:noMultiLvlLbl val="0"/>
      </c:catAx>
      <c:valAx>
        <c:axId val="577967631"/>
        <c:scaling>
          <c:orientation val="minMax"/>
        </c:scaling>
        <c:delete val="1"/>
        <c:axPos val="l"/>
        <c:numFmt formatCode="General" sourceLinked="1"/>
        <c:majorTickMark val="none"/>
        <c:minorTickMark val="none"/>
        <c:tickLblPos val="nextTo"/>
        <c:crossAx val="57796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Worksheet.xlsx]PIVOT_TABLE!PivotTable14</c:name>
    <c:fmtId val="3"/>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a:solidFill>
                  <a:srgbClr val="FFC000"/>
                </a:solidFill>
              </a:rPr>
              <a:t>Lowest</a:t>
            </a:r>
            <a:r>
              <a:rPr lang="en-US" sz="1100" b="1" baseline="0">
                <a:solidFill>
                  <a:srgbClr val="FFC000"/>
                </a:solidFill>
              </a:rPr>
              <a:t> Manufacturing Cost Products</a:t>
            </a:r>
            <a:endParaRPr lang="en-US" sz="1100" b="1">
              <a:solidFill>
                <a:srgbClr val="FFC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PIVOT_TABLE!$B$126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PIVOT_TABLE!$A$127:$A$132</c:f>
              <c:strCache>
                <c:ptCount val="5"/>
                <c:pt idx="0">
                  <c:v>SKU70</c:v>
                </c:pt>
                <c:pt idx="1">
                  <c:v>SKU51</c:v>
                </c:pt>
                <c:pt idx="2">
                  <c:v>SKU26</c:v>
                </c:pt>
                <c:pt idx="3">
                  <c:v>SKU81</c:v>
                </c:pt>
                <c:pt idx="4">
                  <c:v>SKU48</c:v>
                </c:pt>
              </c:strCache>
            </c:strRef>
          </c:cat>
          <c:val>
            <c:numRef>
              <c:f>PIVOT_TABLE!$B$127:$B$132</c:f>
              <c:numCache>
                <c:formatCode>General</c:formatCode>
                <c:ptCount val="5"/>
                <c:pt idx="0">
                  <c:v>11</c:v>
                </c:pt>
                <c:pt idx="1">
                  <c:v>14</c:v>
                </c:pt>
                <c:pt idx="2">
                  <c:v>16</c:v>
                </c:pt>
                <c:pt idx="3">
                  <c:v>20</c:v>
                </c:pt>
                <c:pt idx="4">
                  <c:v>23</c:v>
                </c:pt>
              </c:numCache>
            </c:numRef>
          </c:val>
          <c:extLst>
            <c:ext xmlns:c16="http://schemas.microsoft.com/office/drawing/2014/chart" uri="{C3380CC4-5D6E-409C-BE32-E72D297353CC}">
              <c16:uniqueId val="{00000000-8E64-400C-908E-BA899824BB22}"/>
            </c:ext>
          </c:extLst>
        </c:ser>
        <c:dLbls>
          <c:dLblPos val="outEnd"/>
          <c:showLegendKey val="0"/>
          <c:showVal val="1"/>
          <c:showCatName val="0"/>
          <c:showSerName val="0"/>
          <c:showPercent val="0"/>
          <c:showBubbleSize val="0"/>
        </c:dLbls>
        <c:gapWidth val="219"/>
        <c:overlap val="-27"/>
        <c:axId val="2011018319"/>
        <c:axId val="2011022159"/>
      </c:barChart>
      <c:catAx>
        <c:axId val="2011018319"/>
        <c:scaling>
          <c:orientation val="minMax"/>
        </c:scaling>
        <c:delete val="0"/>
        <c:axPos val="b"/>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2011022159"/>
        <c:crosses val="autoZero"/>
        <c:auto val="1"/>
        <c:lblAlgn val="ctr"/>
        <c:lblOffset val="100"/>
        <c:noMultiLvlLbl val="0"/>
      </c:catAx>
      <c:valAx>
        <c:axId val="2011022159"/>
        <c:scaling>
          <c:orientation val="minMax"/>
        </c:scaling>
        <c:delete val="1"/>
        <c:axPos val="l"/>
        <c:numFmt formatCode="General" sourceLinked="1"/>
        <c:majorTickMark val="none"/>
        <c:minorTickMark val="none"/>
        <c:tickLblPos val="nextTo"/>
        <c:crossAx val="201101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Worksheet.xlsx]PIVOT_TABLE!PivotTable6</c:name>
    <c:fmtId val="7"/>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sz="1100" b="1">
                <a:solidFill>
                  <a:srgbClr val="FFC000"/>
                </a:solidFill>
              </a:rPr>
              <a:t>Fastest</a:t>
            </a:r>
            <a:r>
              <a:rPr lang="en-US" sz="1100" b="1" baseline="0">
                <a:solidFill>
                  <a:srgbClr val="FFC000"/>
                </a:solidFill>
              </a:rPr>
              <a:t> to Product SKU's</a:t>
            </a:r>
            <a:endParaRPr lang="en-US" sz="1100" b="1">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PIVOT_TABLE!$B$200</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PIVOT_TABLE!$A$201:$A$206</c:f>
              <c:strCache>
                <c:ptCount val="5"/>
                <c:pt idx="0">
                  <c:v>SKU81</c:v>
                </c:pt>
                <c:pt idx="1">
                  <c:v>SKU99</c:v>
                </c:pt>
                <c:pt idx="2">
                  <c:v>SKU24</c:v>
                </c:pt>
                <c:pt idx="3">
                  <c:v>SKU12</c:v>
                </c:pt>
                <c:pt idx="4">
                  <c:v>SKU26</c:v>
                </c:pt>
              </c:strCache>
            </c:strRef>
          </c:cat>
          <c:val>
            <c:numRef>
              <c:f>PIVOT_TABLE!$B$201:$B$206</c:f>
              <c:numCache>
                <c:formatCode>General</c:formatCode>
                <c:ptCount val="5"/>
                <c:pt idx="0">
                  <c:v>1</c:v>
                </c:pt>
                <c:pt idx="1">
                  <c:v>2</c:v>
                </c:pt>
                <c:pt idx="2">
                  <c:v>3</c:v>
                </c:pt>
                <c:pt idx="3">
                  <c:v>3</c:v>
                </c:pt>
                <c:pt idx="4">
                  <c:v>4</c:v>
                </c:pt>
              </c:numCache>
            </c:numRef>
          </c:val>
          <c:extLst>
            <c:ext xmlns:c16="http://schemas.microsoft.com/office/drawing/2014/chart" uri="{C3380CC4-5D6E-409C-BE32-E72D297353CC}">
              <c16:uniqueId val="{00000000-3CDE-4183-8FF5-B764467D7011}"/>
            </c:ext>
          </c:extLst>
        </c:ser>
        <c:dLbls>
          <c:dLblPos val="outEnd"/>
          <c:showLegendKey val="0"/>
          <c:showVal val="1"/>
          <c:showCatName val="0"/>
          <c:showSerName val="0"/>
          <c:showPercent val="0"/>
          <c:showBubbleSize val="0"/>
        </c:dLbls>
        <c:gapWidth val="219"/>
        <c:axId val="1631928576"/>
        <c:axId val="1631929056"/>
      </c:barChart>
      <c:catAx>
        <c:axId val="1631928576"/>
        <c:scaling>
          <c:orientation val="minMax"/>
        </c:scaling>
        <c:delete val="0"/>
        <c:axPos val="l"/>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baseline="0">
                <a:ln>
                  <a:noFill/>
                </a:ln>
                <a:solidFill>
                  <a:srgbClr val="FFC000"/>
                </a:solidFill>
                <a:latin typeface="+mn-lt"/>
                <a:ea typeface="+mn-ea"/>
                <a:cs typeface="+mn-cs"/>
              </a:defRPr>
            </a:pPr>
            <a:endParaRPr lang="en-US"/>
          </a:p>
        </c:txPr>
        <c:crossAx val="1631929056"/>
        <c:crosses val="autoZero"/>
        <c:auto val="1"/>
        <c:lblAlgn val="ctr"/>
        <c:lblOffset val="100"/>
        <c:noMultiLvlLbl val="0"/>
      </c:catAx>
      <c:valAx>
        <c:axId val="1631929056"/>
        <c:scaling>
          <c:orientation val="minMax"/>
        </c:scaling>
        <c:delete val="1"/>
        <c:axPos val="b"/>
        <c:numFmt formatCode="General" sourceLinked="1"/>
        <c:majorTickMark val="none"/>
        <c:minorTickMark val="none"/>
        <c:tickLblPos val="nextTo"/>
        <c:crossAx val="163192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Worksheet.xlsx]PIVOT_TABLE!no_of_products</c:name>
    <c:fmtId val="10"/>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a:t>Number of Products in Each</a:t>
            </a:r>
            <a:r>
              <a:rPr lang="en-US" sz="1100" b="1" baseline="0"/>
              <a:t> </a:t>
            </a:r>
            <a:r>
              <a:rPr lang="en-US" sz="1100" b="1"/>
              <a:t>Category</a:t>
            </a:r>
          </a:p>
        </c:rich>
      </c:tx>
      <c:layout>
        <c:manualLayout>
          <c:xMode val="edge"/>
          <c:yMode val="edge"/>
          <c:x val="0.14780309842885239"/>
          <c:y val="7.051282051282051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PIVOT_TABLE!$A$6:$A$9</c:f>
              <c:strCache>
                <c:ptCount val="3"/>
                <c:pt idx="0">
                  <c:v>Cosmetics</c:v>
                </c:pt>
                <c:pt idx="1">
                  <c:v>Haircare</c:v>
                </c:pt>
                <c:pt idx="2">
                  <c:v>Skincare</c:v>
                </c:pt>
              </c:strCache>
            </c:strRef>
          </c:cat>
          <c:val>
            <c:numRef>
              <c:f>PIVOT_TABLE!$B$6:$B$9</c:f>
              <c:numCache>
                <c:formatCode>General</c:formatCode>
                <c:ptCount val="3"/>
                <c:pt idx="0">
                  <c:v>26</c:v>
                </c:pt>
                <c:pt idx="1">
                  <c:v>34</c:v>
                </c:pt>
                <c:pt idx="2">
                  <c:v>40</c:v>
                </c:pt>
              </c:numCache>
            </c:numRef>
          </c:val>
          <c:extLst>
            <c:ext xmlns:c16="http://schemas.microsoft.com/office/drawing/2014/chart" uri="{C3380CC4-5D6E-409C-BE32-E72D297353CC}">
              <c16:uniqueId val="{00000000-B853-47E4-BDAA-2F1933877511}"/>
            </c:ext>
          </c:extLst>
        </c:ser>
        <c:dLbls>
          <c:dLblPos val="outEnd"/>
          <c:showLegendKey val="0"/>
          <c:showVal val="1"/>
          <c:showCatName val="0"/>
          <c:showSerName val="0"/>
          <c:showPercent val="0"/>
          <c:showBubbleSize val="0"/>
        </c:dLbls>
        <c:gapWidth val="219"/>
        <c:overlap val="-27"/>
        <c:axId val="1585020192"/>
        <c:axId val="1585028352"/>
      </c:barChart>
      <c:catAx>
        <c:axId val="1585020192"/>
        <c:scaling>
          <c:orientation val="minMax"/>
        </c:scaling>
        <c:delete val="0"/>
        <c:axPos val="b"/>
        <c:numFmt formatCode="General" sourceLinked="1"/>
        <c:majorTickMark val="out"/>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1" i="0" u="none" strike="noStrike" kern="1200" baseline="0">
                <a:solidFill>
                  <a:srgbClr val="FFC000"/>
                </a:solidFill>
                <a:latin typeface="+mn-lt"/>
                <a:ea typeface="+mn-ea"/>
                <a:cs typeface="+mn-cs"/>
              </a:defRPr>
            </a:pPr>
            <a:endParaRPr lang="en-US"/>
          </a:p>
        </c:txPr>
        <c:crossAx val="1585028352"/>
        <c:crosses val="autoZero"/>
        <c:auto val="1"/>
        <c:lblAlgn val="ctr"/>
        <c:lblOffset val="100"/>
        <c:noMultiLvlLbl val="0"/>
      </c:catAx>
      <c:valAx>
        <c:axId val="1585028352"/>
        <c:scaling>
          <c:orientation val="minMax"/>
        </c:scaling>
        <c:delete val="1"/>
        <c:axPos val="l"/>
        <c:numFmt formatCode="General" sourceLinked="1"/>
        <c:majorTickMark val="out"/>
        <c:minorTickMark val="none"/>
        <c:tickLblPos val="nextTo"/>
        <c:crossAx val="158502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C000"/>
      </a:solidFill>
      <a:round/>
    </a:ln>
    <a:effectLst/>
  </c:spPr>
  <c:txPr>
    <a:bodyPr/>
    <a:lstStyle/>
    <a:p>
      <a:pPr>
        <a:defRPr>
          <a:solidFill>
            <a:srgbClr val="FFC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Worksheet.xlsx]PIVOT_TABLE!no_of_products_sold</c:name>
    <c:fmtId val="14"/>
  </c:pivotSource>
  <c:chart>
    <c:title>
      <c:tx>
        <c:rich>
          <a:bodyPr rot="0" spcFirstLastPara="1" vertOverflow="ellipsis" vert="horz" wrap="square" anchor="ctr" anchorCtr="1"/>
          <a:lstStyle/>
          <a:p>
            <a:pPr>
              <a:defRPr lang="en-US" sz="1100" b="1" i="0" u="none" strike="noStrike" kern="1200" spc="0" baseline="0">
                <a:solidFill>
                  <a:srgbClr val="FFC000"/>
                </a:solidFill>
                <a:latin typeface="+mn-lt"/>
                <a:ea typeface="+mn-ea"/>
                <a:cs typeface="+mn-cs"/>
              </a:defRPr>
            </a:pPr>
            <a:r>
              <a:rPr lang="en-US" sz="1100" b="1"/>
              <a:t>Products Sold by Category</a:t>
            </a:r>
          </a:p>
        </c:rich>
      </c:tx>
      <c:overlay val="0"/>
      <c:spPr>
        <a:noFill/>
        <a:ln>
          <a:noFill/>
        </a:ln>
        <a:effectLst/>
      </c:spPr>
      <c:txPr>
        <a:bodyPr rot="0" spcFirstLastPara="1" vertOverflow="ellipsis" vert="horz" wrap="square" anchor="ctr" anchorCtr="1"/>
        <a:lstStyle/>
        <a:p>
          <a:pPr>
            <a:defRPr lang="en-US"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solidFill>
              <a:sysClr val="windowText" lastClr="000000"/>
            </a:solidFill>
            <a:ln>
              <a:solidFill>
                <a:srgbClr val="FFC000"/>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rgbClr val="FFC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FFC000"/>
          </a:solidFill>
          <a:ln w="19050">
            <a:solidFill>
              <a:srgbClr val="FFC000"/>
            </a:solidFill>
          </a:ln>
          <a:effectLst/>
        </c:spPr>
        <c:dLbl>
          <c:idx val="0"/>
          <c:layout>
            <c:manualLayout>
              <c:x val="5.9641584537032291E-2"/>
              <c:y val="6.9382631518886337E-3"/>
            </c:manualLayout>
          </c:layout>
          <c:spPr>
            <a:solidFill>
              <a:sysClr val="windowText" lastClr="000000"/>
            </a:solidFill>
            <a:ln>
              <a:solidFill>
                <a:srgbClr val="FFC000"/>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rgbClr val="FFC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36230901600877"/>
                  <c:h val="0.24316330023964397"/>
                </c:manualLayout>
              </c15:layout>
            </c:ext>
          </c:extLst>
        </c:dLbl>
      </c:pivotFmt>
      <c:pivotFmt>
        <c:idx val="23"/>
        <c:spPr>
          <a:solidFill>
            <a:schemeClr val="accent1"/>
          </a:solidFill>
          <a:ln w="19050">
            <a:solidFill>
              <a:schemeClr val="accent2"/>
            </a:solidFill>
          </a:ln>
          <a:effectLst/>
        </c:spPr>
      </c:pivotFmt>
      <c:pivotFmt>
        <c:idx val="24"/>
        <c:spPr>
          <a:solidFill>
            <a:srgbClr val="FFFF00"/>
          </a:solidFill>
          <a:ln w="19050">
            <a:solidFill>
              <a:srgbClr val="FFFF00"/>
            </a:solidFill>
          </a:ln>
          <a:effectLst/>
        </c:spPr>
      </c:pivotFmt>
      <c:pivotFmt>
        <c:idx val="25"/>
        <c:spPr>
          <a:solidFill>
            <a:schemeClr val="accent1"/>
          </a:solidFill>
          <a:ln w="19050">
            <a:solidFill>
              <a:schemeClr val="lt1"/>
            </a:solidFill>
          </a:ln>
          <a:effectLst/>
        </c:spPr>
        <c:marker>
          <c:symbol val="none"/>
        </c:marker>
        <c:dLbl>
          <c:idx val="0"/>
          <c:spPr>
            <a:solidFill>
              <a:sysClr val="windowText" lastClr="000000"/>
            </a:solidFill>
            <a:ln>
              <a:solidFill>
                <a:srgbClr val="FFC000"/>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rgbClr val="FFC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FFC000"/>
          </a:solidFill>
          <a:ln w="19050">
            <a:solidFill>
              <a:srgbClr val="FFC000"/>
            </a:solidFill>
          </a:ln>
          <a:effectLst/>
        </c:spPr>
        <c:dLbl>
          <c:idx val="0"/>
          <c:layout>
            <c:manualLayout>
              <c:x val="5.9641584537032291E-2"/>
              <c:y val="6.9382631518886337E-3"/>
            </c:manualLayout>
          </c:layout>
          <c:spPr>
            <a:solidFill>
              <a:sysClr val="windowText" lastClr="000000"/>
            </a:solidFill>
            <a:ln>
              <a:solidFill>
                <a:srgbClr val="FFC000"/>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rgbClr val="FFC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36230901600877"/>
                  <c:h val="0.24316330023964397"/>
                </c:manualLayout>
              </c15:layout>
            </c:ext>
          </c:extLst>
        </c:dLbl>
      </c:pivotFmt>
      <c:pivotFmt>
        <c:idx val="27"/>
        <c:spPr>
          <a:solidFill>
            <a:schemeClr val="accent1"/>
          </a:solidFill>
          <a:ln w="19050">
            <a:solidFill>
              <a:schemeClr val="accent2"/>
            </a:solidFill>
          </a:ln>
          <a:effectLst/>
        </c:spPr>
      </c:pivotFmt>
      <c:pivotFmt>
        <c:idx val="28"/>
        <c:spPr>
          <a:solidFill>
            <a:srgbClr val="FFFF00"/>
          </a:solidFill>
          <a:ln w="19050">
            <a:solidFill>
              <a:srgbClr val="FFFF00"/>
            </a:solidFill>
          </a:ln>
          <a:effectLst/>
        </c:spPr>
      </c:pivotFmt>
      <c:pivotFmt>
        <c:idx val="29"/>
        <c:spPr>
          <a:solidFill>
            <a:srgbClr val="FFC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FFC000"/>
          </a:solidFill>
          <a:ln w="19050">
            <a:noFill/>
          </a:ln>
          <a:effectLst/>
        </c:spPr>
      </c:pivotFmt>
      <c:pivotFmt>
        <c:idx val="31"/>
        <c:spPr>
          <a:solidFill>
            <a:srgbClr val="FFC000"/>
          </a:solidFill>
          <a:ln w="19050">
            <a:noFill/>
          </a:ln>
          <a:effectLst/>
        </c:spPr>
      </c:pivotFmt>
      <c:pivotFmt>
        <c:idx val="32"/>
        <c:spPr>
          <a:solidFill>
            <a:srgbClr val="FFC000"/>
          </a:solidFill>
          <a:ln w="19050">
            <a:noFill/>
          </a:ln>
          <a:effectLst/>
        </c:spPr>
      </c:pivotFmt>
    </c:pivotFmts>
    <c:plotArea>
      <c:layout/>
      <c:barChart>
        <c:barDir val="col"/>
        <c:grouping val="clustered"/>
        <c:varyColors val="0"/>
        <c:ser>
          <c:idx val="0"/>
          <c:order val="0"/>
          <c:tx>
            <c:strRef>
              <c:f>PIVOT_TABLE!$B$14</c:f>
              <c:strCache>
                <c:ptCount val="1"/>
                <c:pt idx="0">
                  <c:v>Total</c:v>
                </c:pt>
              </c:strCache>
            </c:strRef>
          </c:tx>
          <c:spPr>
            <a:solidFill>
              <a:srgbClr val="FFC000"/>
            </a:solidFill>
            <a:ln w="19050">
              <a:noFill/>
            </a:ln>
            <a:effectLst/>
          </c:spPr>
          <c:invertIfNegative val="0"/>
          <c:dPt>
            <c:idx val="0"/>
            <c:invertIfNegative val="0"/>
            <c:bubble3D val="0"/>
            <c:explosion val="9"/>
            <c:spPr>
              <a:solidFill>
                <a:srgbClr val="FFC000"/>
              </a:solidFill>
              <a:ln w="19050">
                <a:noFill/>
              </a:ln>
              <a:effectLst/>
            </c:spPr>
            <c:extLst>
              <c:ext xmlns:c16="http://schemas.microsoft.com/office/drawing/2014/chart" uri="{C3380CC4-5D6E-409C-BE32-E72D297353CC}">
                <c16:uniqueId val="{00000001-D3F2-499F-A2A0-49181B423D30}"/>
              </c:ext>
            </c:extLst>
          </c:dPt>
          <c:dPt>
            <c:idx val="1"/>
            <c:invertIfNegative val="0"/>
            <c:bubble3D val="0"/>
            <c:explosion val="13"/>
            <c:spPr>
              <a:solidFill>
                <a:srgbClr val="FFC000"/>
              </a:solidFill>
              <a:ln w="19050">
                <a:noFill/>
              </a:ln>
              <a:effectLst/>
            </c:spPr>
            <c:extLst>
              <c:ext xmlns:c16="http://schemas.microsoft.com/office/drawing/2014/chart" uri="{C3380CC4-5D6E-409C-BE32-E72D297353CC}">
                <c16:uniqueId val="{00000003-D3F2-499F-A2A0-49181B423D30}"/>
              </c:ext>
            </c:extLst>
          </c:dPt>
          <c:dPt>
            <c:idx val="2"/>
            <c:invertIfNegative val="0"/>
            <c:bubble3D val="0"/>
            <c:explosion val="9"/>
            <c:spPr>
              <a:solidFill>
                <a:srgbClr val="FFC000"/>
              </a:solidFill>
              <a:ln w="19050">
                <a:noFill/>
              </a:ln>
              <a:effectLst/>
            </c:spPr>
            <c:extLst>
              <c:ext xmlns:c16="http://schemas.microsoft.com/office/drawing/2014/chart" uri="{C3380CC4-5D6E-409C-BE32-E72D297353CC}">
                <c16:uniqueId val="{00000005-D3F2-499F-A2A0-49181B423D30}"/>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PIVOT_TABLE!$A$15:$A$18</c:f>
              <c:strCache>
                <c:ptCount val="3"/>
                <c:pt idx="0">
                  <c:v>Cosmetics</c:v>
                </c:pt>
                <c:pt idx="1">
                  <c:v>Haircare</c:v>
                </c:pt>
                <c:pt idx="2">
                  <c:v>Skincare</c:v>
                </c:pt>
              </c:strCache>
            </c:strRef>
          </c:cat>
          <c:val>
            <c:numRef>
              <c:f>PIVOT_TABLE!$B$15:$B$18</c:f>
              <c:numCache>
                <c:formatCode>General</c:formatCode>
                <c:ptCount val="3"/>
                <c:pt idx="0">
                  <c:v>11757</c:v>
                </c:pt>
                <c:pt idx="1">
                  <c:v>13611</c:v>
                </c:pt>
                <c:pt idx="2">
                  <c:v>20731</c:v>
                </c:pt>
              </c:numCache>
            </c:numRef>
          </c:val>
          <c:extLst>
            <c:ext xmlns:c16="http://schemas.microsoft.com/office/drawing/2014/chart" uri="{C3380CC4-5D6E-409C-BE32-E72D297353CC}">
              <c16:uniqueId val="{00000006-D3F2-499F-A2A0-49181B423D30}"/>
            </c:ext>
          </c:extLst>
        </c:ser>
        <c:dLbls>
          <c:showLegendKey val="0"/>
          <c:showVal val="0"/>
          <c:showCatName val="0"/>
          <c:showSerName val="0"/>
          <c:showPercent val="0"/>
          <c:showBubbleSize val="0"/>
        </c:dLbls>
        <c:gapWidth val="219"/>
        <c:overlap val="-27"/>
        <c:axId val="1810118287"/>
        <c:axId val="1810104367"/>
      </c:barChart>
      <c:catAx>
        <c:axId val="1810118287"/>
        <c:scaling>
          <c:orientation val="minMax"/>
        </c:scaling>
        <c:delete val="0"/>
        <c:axPos val="b"/>
        <c:numFmt formatCode="General" sourceLinked="1"/>
        <c:majorTickMark val="out"/>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lang="en-US" sz="1000" b="1" i="0" u="none" strike="noStrike" kern="1200" baseline="0">
                <a:solidFill>
                  <a:srgbClr val="FFC000"/>
                </a:solidFill>
                <a:latin typeface="+mn-lt"/>
                <a:ea typeface="+mn-ea"/>
                <a:cs typeface="+mn-cs"/>
              </a:defRPr>
            </a:pPr>
            <a:endParaRPr lang="en-US"/>
          </a:p>
        </c:txPr>
        <c:crossAx val="1810104367"/>
        <c:crosses val="autoZero"/>
        <c:auto val="1"/>
        <c:lblAlgn val="ctr"/>
        <c:lblOffset val="100"/>
        <c:noMultiLvlLbl val="0"/>
      </c:catAx>
      <c:valAx>
        <c:axId val="1810104367"/>
        <c:scaling>
          <c:orientation val="minMax"/>
        </c:scaling>
        <c:delete val="1"/>
        <c:axPos val="l"/>
        <c:numFmt formatCode="General" sourceLinked="1"/>
        <c:majorTickMark val="out"/>
        <c:minorTickMark val="none"/>
        <c:tickLblPos val="nextTo"/>
        <c:crossAx val="181011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lang="en-US" sz="1000" b="0" i="0" u="none" strike="noStrike" kern="1200" baseline="0">
          <a:solidFill>
            <a:srgbClr val="FFC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Worksheet.xlsx]PIVOT_TABLE!revenue_by_category</c:name>
    <c:fmtId val="11"/>
  </c:pivotSource>
  <c:chart>
    <c:title>
      <c:tx>
        <c:rich>
          <a:bodyPr rot="0" spcFirstLastPara="1" vertOverflow="ellipsis" vert="horz" wrap="square" anchor="ctr" anchorCtr="1"/>
          <a:lstStyle/>
          <a:p>
            <a:pPr>
              <a:defRPr lang="en-US" sz="1100" b="1" i="0" u="none" strike="noStrike" kern="1200" spc="0" baseline="0">
                <a:solidFill>
                  <a:srgbClr val="FFC000"/>
                </a:solidFill>
                <a:latin typeface="+mn-lt"/>
                <a:ea typeface="+mn-ea"/>
                <a:cs typeface="+mn-cs"/>
              </a:defRPr>
            </a:pPr>
            <a:r>
              <a:rPr lang="en-US" sz="1100" b="1"/>
              <a:t>Revenue by Each Category</a:t>
            </a:r>
          </a:p>
        </c:rich>
      </c:tx>
      <c:overlay val="0"/>
      <c:spPr>
        <a:noFill/>
        <a:ln>
          <a:noFill/>
        </a:ln>
        <a:effectLst/>
      </c:spPr>
      <c:txPr>
        <a:bodyPr rot="0" spcFirstLastPara="1" vertOverflow="ellipsis" vert="horz" wrap="square" anchor="ctr" anchorCtr="1"/>
        <a:lstStyle/>
        <a:p>
          <a:pPr>
            <a:defRPr lang="en-US"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solidFill>
              <a:sysClr val="windowText" lastClr="000000"/>
            </a:solidFill>
            <a:ln>
              <a:solidFill>
                <a:srgbClr val="FFC000"/>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FFC000"/>
          </a:solidFill>
          <a:ln w="19050">
            <a:solidFill>
              <a:srgbClr val="FFC000"/>
            </a:solidFill>
          </a:ln>
          <a:effectLst/>
        </c:spPr>
      </c:pivotFmt>
      <c:pivotFmt>
        <c:idx val="23"/>
        <c:spPr>
          <a:solidFill>
            <a:schemeClr val="accent1"/>
          </a:solidFill>
          <a:ln w="19050">
            <a:solidFill>
              <a:schemeClr val="accent2"/>
            </a:solidFill>
          </a:ln>
          <a:effectLst/>
        </c:spPr>
      </c:pivotFmt>
      <c:pivotFmt>
        <c:idx val="24"/>
        <c:spPr>
          <a:solidFill>
            <a:srgbClr val="FFFF00"/>
          </a:solidFill>
          <a:ln w="19050">
            <a:solidFill>
              <a:srgbClr val="FFFF00"/>
            </a:solidFill>
          </a:ln>
          <a:effectLst/>
        </c:spPr>
      </c:pivotFmt>
      <c:pivotFmt>
        <c:idx val="25"/>
        <c:spPr>
          <a:solidFill>
            <a:schemeClr val="accent1"/>
          </a:solidFill>
          <a:ln w="19050">
            <a:solidFill>
              <a:schemeClr val="lt1"/>
            </a:solidFill>
          </a:ln>
          <a:effectLst/>
        </c:spPr>
        <c:marker>
          <c:symbol val="none"/>
        </c:marker>
        <c:dLbl>
          <c:idx val="0"/>
          <c:spPr>
            <a:solidFill>
              <a:sysClr val="windowText" lastClr="000000"/>
            </a:solidFill>
            <a:ln>
              <a:solidFill>
                <a:srgbClr val="FFC000"/>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FFC000"/>
          </a:solidFill>
          <a:ln w="19050">
            <a:solidFill>
              <a:srgbClr val="FFC000"/>
            </a:solidFill>
          </a:ln>
          <a:effectLst/>
        </c:spPr>
      </c:pivotFmt>
      <c:pivotFmt>
        <c:idx val="27"/>
        <c:spPr>
          <a:solidFill>
            <a:schemeClr val="accent1"/>
          </a:solidFill>
          <a:ln w="19050">
            <a:solidFill>
              <a:schemeClr val="accent2"/>
            </a:solidFill>
          </a:ln>
          <a:effectLst/>
        </c:spPr>
      </c:pivotFmt>
      <c:pivotFmt>
        <c:idx val="28"/>
        <c:spPr>
          <a:solidFill>
            <a:srgbClr val="FFFF00"/>
          </a:solidFill>
          <a:ln w="19050">
            <a:solidFill>
              <a:srgbClr val="FFFF00"/>
            </a:solidFill>
          </a:ln>
          <a:effectLst/>
        </c:spPr>
      </c:pivotFmt>
      <c:pivotFmt>
        <c:idx val="29"/>
        <c:spPr>
          <a:solidFill>
            <a:schemeClr val="accent1"/>
          </a:solidFill>
          <a:ln w="19050">
            <a:solidFill>
              <a:schemeClr val="lt1"/>
            </a:solidFill>
          </a:ln>
          <a:effectLst/>
        </c:spPr>
        <c:marker>
          <c:symbol val="none"/>
        </c:marker>
        <c:dLbl>
          <c:idx val="0"/>
          <c:spPr>
            <a:solidFill>
              <a:sysClr val="windowText" lastClr="000000"/>
            </a:solidFill>
            <a:ln>
              <a:solidFill>
                <a:srgbClr val="FFC000"/>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rgbClr val="FFC000"/>
          </a:solidFill>
          <a:ln w="19050">
            <a:solidFill>
              <a:srgbClr val="FFC000"/>
            </a:solidFill>
          </a:ln>
          <a:effectLst/>
        </c:spPr>
        <c:dLbl>
          <c:idx val="0"/>
          <c:spPr>
            <a:solidFill>
              <a:sysClr val="windowText" lastClr="000000"/>
            </a:solidFill>
            <a:ln>
              <a:solidFill>
                <a:srgbClr val="FFC000"/>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746685379159977"/>
                  <c:h val="0.26323900106546089"/>
                </c:manualLayout>
              </c15:layout>
            </c:ext>
          </c:extLst>
        </c:dLbl>
      </c:pivotFmt>
      <c:pivotFmt>
        <c:idx val="31"/>
        <c:spPr>
          <a:solidFill>
            <a:schemeClr val="accent1"/>
          </a:solidFill>
          <a:ln w="19050">
            <a:solidFill>
              <a:schemeClr val="accent2"/>
            </a:solidFill>
          </a:ln>
          <a:effectLst/>
        </c:spPr>
        <c:dLbl>
          <c:idx val="0"/>
          <c:layout>
            <c:manualLayout>
              <c:x val="1.6933361465291182E-7"/>
              <c:y val="-3.9603960396039722E-2"/>
            </c:manualLayout>
          </c:layout>
          <c:spPr>
            <a:solidFill>
              <a:sysClr val="windowText" lastClr="000000"/>
            </a:solidFill>
            <a:ln>
              <a:solidFill>
                <a:srgbClr val="FFC000"/>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rgbClr val="FFC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550970264678596"/>
                  <c:h val="0.18189132299056676"/>
                </c:manualLayout>
              </c15:layout>
            </c:ext>
          </c:extLst>
        </c:dLbl>
      </c:pivotFmt>
      <c:pivotFmt>
        <c:idx val="32"/>
        <c:spPr>
          <a:solidFill>
            <a:srgbClr val="FFFF00"/>
          </a:solidFill>
          <a:ln w="19050">
            <a:solidFill>
              <a:srgbClr val="FFFF00"/>
            </a:solidFill>
          </a:ln>
          <a:effectLst/>
        </c:spPr>
      </c:pivotFmt>
    </c:pivotFmts>
    <c:plotArea>
      <c:layout/>
      <c:pieChart>
        <c:varyColors val="1"/>
        <c:ser>
          <c:idx val="0"/>
          <c:order val="0"/>
          <c:tx>
            <c:strRef>
              <c:f>PIVOT_TABLE!$B$52</c:f>
              <c:strCache>
                <c:ptCount val="1"/>
                <c:pt idx="0">
                  <c:v>Total</c:v>
                </c:pt>
              </c:strCache>
            </c:strRef>
          </c:tx>
          <c:dPt>
            <c:idx val="0"/>
            <c:bubble3D val="0"/>
            <c:explosion val="11"/>
            <c:spPr>
              <a:solidFill>
                <a:srgbClr val="FFC000"/>
              </a:solidFill>
              <a:ln w="19050">
                <a:solidFill>
                  <a:srgbClr val="FFC000"/>
                </a:solidFill>
              </a:ln>
              <a:effectLst/>
            </c:spPr>
            <c:extLst>
              <c:ext xmlns:c16="http://schemas.microsoft.com/office/drawing/2014/chart" uri="{C3380CC4-5D6E-409C-BE32-E72D297353CC}">
                <c16:uniqueId val="{00000001-B7D3-44FA-B9FC-FAEEB8644D8C}"/>
              </c:ext>
            </c:extLst>
          </c:dPt>
          <c:dPt>
            <c:idx val="1"/>
            <c:bubble3D val="0"/>
            <c:explosion val="12"/>
            <c:spPr>
              <a:solidFill>
                <a:schemeClr val="accent2"/>
              </a:solidFill>
              <a:ln w="19050">
                <a:solidFill>
                  <a:schemeClr val="accent2"/>
                </a:solidFill>
              </a:ln>
              <a:effectLst/>
            </c:spPr>
            <c:extLst>
              <c:ext xmlns:c16="http://schemas.microsoft.com/office/drawing/2014/chart" uri="{C3380CC4-5D6E-409C-BE32-E72D297353CC}">
                <c16:uniqueId val="{00000003-B7D3-44FA-B9FC-FAEEB8644D8C}"/>
              </c:ext>
            </c:extLst>
          </c:dPt>
          <c:dPt>
            <c:idx val="2"/>
            <c:bubble3D val="0"/>
            <c:explosion val="6"/>
            <c:spPr>
              <a:solidFill>
                <a:srgbClr val="FFFF00"/>
              </a:solidFill>
              <a:ln w="19050">
                <a:solidFill>
                  <a:srgbClr val="FFFF00"/>
                </a:solidFill>
              </a:ln>
              <a:effectLst/>
            </c:spPr>
            <c:extLst>
              <c:ext xmlns:c16="http://schemas.microsoft.com/office/drawing/2014/chart" uri="{C3380CC4-5D6E-409C-BE32-E72D297353CC}">
                <c16:uniqueId val="{00000005-B7D3-44FA-B9FC-FAEEB8644D8C}"/>
              </c:ext>
            </c:extLst>
          </c:dPt>
          <c:dLbls>
            <c:dLbl>
              <c:idx val="0"/>
              <c:dLblPos val="outEnd"/>
              <c:showLegendKey val="0"/>
              <c:showVal val="0"/>
              <c:showCatName val="1"/>
              <c:showSerName val="0"/>
              <c:showPercent val="1"/>
              <c:showBubbleSize val="0"/>
              <c:extLst>
                <c:ext xmlns:c15="http://schemas.microsoft.com/office/drawing/2012/chart" uri="{CE6537A1-D6FC-4f65-9D91-7224C49458BB}">
                  <c15:layout>
                    <c:manualLayout>
                      <c:w val="0.24746685379159977"/>
                      <c:h val="0.26323900106546089"/>
                    </c:manualLayout>
                  </c15:layout>
                </c:ext>
                <c:ext xmlns:c16="http://schemas.microsoft.com/office/drawing/2014/chart" uri="{C3380CC4-5D6E-409C-BE32-E72D297353CC}">
                  <c16:uniqueId val="{00000001-B7D3-44FA-B9FC-FAEEB8644D8C}"/>
                </c:ext>
              </c:extLst>
            </c:dLbl>
            <c:dLbl>
              <c:idx val="1"/>
              <c:layout>
                <c:manualLayout>
                  <c:x val="1.6933361465291182E-7"/>
                  <c:y val="-3.960396039603972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550970264678596"/>
                      <c:h val="0.18189132299056676"/>
                    </c:manualLayout>
                  </c15:layout>
                </c:ext>
                <c:ext xmlns:c16="http://schemas.microsoft.com/office/drawing/2014/chart" uri="{C3380CC4-5D6E-409C-BE32-E72D297353CC}">
                  <c16:uniqueId val="{00000003-B7D3-44FA-B9FC-FAEEB8644D8C}"/>
                </c:ext>
              </c:extLst>
            </c:dLbl>
            <c:spPr>
              <a:solidFill>
                <a:sysClr val="windowText" lastClr="000000"/>
              </a:solidFill>
              <a:ln>
                <a:solidFill>
                  <a:srgbClr val="FFC000"/>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solidFill>
                      <a:srgbClr val="FFC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PIVOT_TABLE!$A$53:$A$56</c:f>
              <c:strCache>
                <c:ptCount val="3"/>
                <c:pt idx="0">
                  <c:v>Cosmetics</c:v>
                </c:pt>
                <c:pt idx="1">
                  <c:v>Haircare</c:v>
                </c:pt>
                <c:pt idx="2">
                  <c:v>Skincare</c:v>
                </c:pt>
              </c:strCache>
            </c:strRef>
          </c:cat>
          <c:val>
            <c:numRef>
              <c:f>PIVOT_TABLE!$B$53:$B$56</c:f>
              <c:numCache>
                <c:formatCode>General</c:formatCode>
                <c:ptCount val="3"/>
                <c:pt idx="0">
                  <c:v>161519</c:v>
                </c:pt>
                <c:pt idx="1">
                  <c:v>174454</c:v>
                </c:pt>
                <c:pt idx="2">
                  <c:v>241629</c:v>
                </c:pt>
              </c:numCache>
            </c:numRef>
          </c:val>
          <c:extLst>
            <c:ext xmlns:c16="http://schemas.microsoft.com/office/drawing/2014/chart" uri="{C3380CC4-5D6E-409C-BE32-E72D297353CC}">
              <c16:uniqueId val="{00000006-B7D3-44FA-B9FC-FAEEB8644D8C}"/>
            </c:ext>
          </c:extLst>
        </c:ser>
        <c:dLbls>
          <c:showLegendKey val="0"/>
          <c:showVal val="0"/>
          <c:showCatName val="0"/>
          <c:showSerName val="0"/>
          <c:showPercent val="0"/>
          <c:showBubbleSize val="0"/>
          <c:showLeaderLines val="0"/>
        </c:dLbls>
        <c:firstSliceAng val="1"/>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lang="en-US" sz="1000" b="0" i="0" u="none" strike="noStrike" kern="1200" baseline="0">
          <a:solidFill>
            <a:srgbClr val="FFC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Worksheet.xlsx]PIVOT_TABLE!top_5_skus_by_qty</c:name>
    <c:fmtId val="9"/>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cap="none" spc="0">
                <a:ln w="0"/>
                <a:solidFill>
                  <a:srgbClr val="FFC000"/>
                </a:solidFill>
                <a:effectLst>
                  <a:outerShdw blurRad="38100" dist="19050" dir="2700000" algn="tl" rotWithShape="0">
                    <a:schemeClr val="dk1">
                      <a:alpha val="40000"/>
                    </a:schemeClr>
                  </a:outerShdw>
                </a:effectLst>
              </a:rPr>
              <a:t>Top 10 SKU's</a:t>
            </a:r>
            <a:r>
              <a:rPr lang="en-US" sz="1100" b="1" cap="none" spc="0" baseline="0">
                <a:ln w="0"/>
                <a:solidFill>
                  <a:srgbClr val="FFC000"/>
                </a:solidFill>
                <a:effectLst>
                  <a:outerShdw blurRad="38100" dist="19050" dir="2700000" algn="tl" rotWithShape="0">
                    <a:schemeClr val="dk1">
                      <a:alpha val="40000"/>
                    </a:schemeClr>
                  </a:outerShdw>
                </a:effectLst>
              </a:rPr>
              <a:t> by Quantity (units sold)</a:t>
            </a:r>
            <a:endParaRPr lang="en-US" sz="1100" b="1">
              <a:solidFill>
                <a:srgbClr val="FFC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PIVOT_TABLE!$A$24:$A$29</c:f>
              <c:strCache>
                <c:ptCount val="5"/>
                <c:pt idx="0">
                  <c:v>SKU0</c:v>
                </c:pt>
                <c:pt idx="1">
                  <c:v>SKU46</c:v>
                </c:pt>
                <c:pt idx="2">
                  <c:v>SKU22</c:v>
                </c:pt>
                <c:pt idx="3">
                  <c:v>SKU74</c:v>
                </c:pt>
                <c:pt idx="4">
                  <c:v>SKU78</c:v>
                </c:pt>
              </c:strCache>
            </c:strRef>
          </c:cat>
          <c:val>
            <c:numRef>
              <c:f>PIVOT_TABLE!$B$24:$B$29</c:f>
              <c:numCache>
                <c:formatCode>General</c:formatCode>
                <c:ptCount val="5"/>
                <c:pt idx="0">
                  <c:v>802</c:v>
                </c:pt>
                <c:pt idx="1">
                  <c:v>859</c:v>
                </c:pt>
                <c:pt idx="2">
                  <c:v>884</c:v>
                </c:pt>
                <c:pt idx="3">
                  <c:v>904</c:v>
                </c:pt>
                <c:pt idx="4">
                  <c:v>946</c:v>
                </c:pt>
              </c:numCache>
            </c:numRef>
          </c:val>
          <c:extLst>
            <c:ext xmlns:c16="http://schemas.microsoft.com/office/drawing/2014/chart" uri="{C3380CC4-5D6E-409C-BE32-E72D297353CC}">
              <c16:uniqueId val="{00000000-6A41-4472-991E-5144455C8EE2}"/>
            </c:ext>
          </c:extLst>
        </c:ser>
        <c:dLbls>
          <c:dLblPos val="outEnd"/>
          <c:showLegendKey val="0"/>
          <c:showVal val="1"/>
          <c:showCatName val="0"/>
          <c:showSerName val="0"/>
          <c:showPercent val="0"/>
          <c:showBubbleSize val="0"/>
        </c:dLbls>
        <c:gapWidth val="100"/>
        <c:overlap val="-27"/>
        <c:axId val="123876096"/>
        <c:axId val="123878976"/>
      </c:barChart>
      <c:catAx>
        <c:axId val="123876096"/>
        <c:scaling>
          <c:orientation val="minMax"/>
        </c:scaling>
        <c:delete val="0"/>
        <c:axPos val="l"/>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123878976"/>
        <c:crosses val="autoZero"/>
        <c:auto val="1"/>
        <c:lblAlgn val="ctr"/>
        <c:lblOffset val="100"/>
        <c:noMultiLvlLbl val="0"/>
      </c:catAx>
      <c:valAx>
        <c:axId val="123878976"/>
        <c:scaling>
          <c:orientation val="minMax"/>
        </c:scaling>
        <c:delete val="1"/>
        <c:axPos val="b"/>
        <c:numFmt formatCode="General" sourceLinked="1"/>
        <c:majorTickMark val="none"/>
        <c:minorTickMark val="none"/>
        <c:tickLblPos val="nextTo"/>
        <c:crossAx val="12387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Worksheet.xlsx]PIVOT_TABLE!PivotTable4</c:name>
    <c:fmtId val="18"/>
  </c:pivotSource>
  <c:chart>
    <c:title>
      <c:tx>
        <c:rich>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r>
              <a:rPr lang="en-US" sz="1100" b="1" cap="none" spc="0">
                <a:ln w="0"/>
                <a:solidFill>
                  <a:srgbClr val="FFC000"/>
                </a:solidFill>
                <a:effectLst>
                  <a:outerShdw blurRad="38100" dist="19050" dir="2700000" algn="tl" rotWithShape="0">
                    <a:schemeClr val="dk1">
                      <a:alpha val="40000"/>
                    </a:schemeClr>
                  </a:outerShdw>
                </a:effectLst>
              </a:rPr>
              <a:t>Top</a:t>
            </a:r>
            <a:r>
              <a:rPr lang="en-US" sz="1100" b="1" cap="none" spc="0" baseline="0">
                <a:ln w="0"/>
                <a:solidFill>
                  <a:srgbClr val="FFC000"/>
                </a:solidFill>
                <a:effectLst>
                  <a:outerShdw blurRad="38100" dist="19050" dir="2700000" algn="tl" rotWithShape="0">
                    <a:schemeClr val="dk1">
                      <a:alpha val="40000"/>
                    </a:schemeClr>
                  </a:outerShdw>
                </a:effectLst>
              </a:rPr>
              <a:t> SKU's by Revenue</a:t>
            </a:r>
            <a:endParaRPr lang="en-US" sz="1100" b="1">
              <a:solidFill>
                <a:srgbClr val="FFC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PIVOT_TABLE!$B$61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PIVOT_TABLE!$A$62:$A$67</c:f>
              <c:strCache>
                <c:ptCount val="5"/>
                <c:pt idx="0">
                  <c:v>SKU24</c:v>
                </c:pt>
                <c:pt idx="1">
                  <c:v>SKU99</c:v>
                </c:pt>
                <c:pt idx="2">
                  <c:v>SKU18</c:v>
                </c:pt>
                <c:pt idx="3">
                  <c:v>SKU2</c:v>
                </c:pt>
                <c:pt idx="4">
                  <c:v>SKU51</c:v>
                </c:pt>
              </c:strCache>
            </c:strRef>
          </c:cat>
          <c:val>
            <c:numRef>
              <c:f>PIVOT_TABLE!$B$62:$B$67</c:f>
              <c:numCache>
                <c:formatCode>General</c:formatCode>
                <c:ptCount val="5"/>
                <c:pt idx="0">
                  <c:v>9049</c:v>
                </c:pt>
                <c:pt idx="1">
                  <c:v>9185</c:v>
                </c:pt>
                <c:pt idx="2">
                  <c:v>9365</c:v>
                </c:pt>
                <c:pt idx="3">
                  <c:v>9578</c:v>
                </c:pt>
                <c:pt idx="4">
                  <c:v>9866</c:v>
                </c:pt>
              </c:numCache>
            </c:numRef>
          </c:val>
          <c:extLst>
            <c:ext xmlns:c16="http://schemas.microsoft.com/office/drawing/2014/chart" uri="{C3380CC4-5D6E-409C-BE32-E72D297353CC}">
              <c16:uniqueId val="{00000000-0B62-4FA9-A55C-0BC5982EC3BD}"/>
            </c:ext>
          </c:extLst>
        </c:ser>
        <c:dLbls>
          <c:dLblPos val="outEnd"/>
          <c:showLegendKey val="0"/>
          <c:showVal val="1"/>
          <c:showCatName val="0"/>
          <c:showSerName val="0"/>
          <c:showPercent val="0"/>
          <c:showBubbleSize val="0"/>
        </c:dLbls>
        <c:gapWidth val="100"/>
        <c:overlap val="-27"/>
        <c:axId val="120275168"/>
        <c:axId val="120275648"/>
      </c:barChart>
      <c:catAx>
        <c:axId val="120275168"/>
        <c:scaling>
          <c:orientation val="minMax"/>
        </c:scaling>
        <c:delete val="0"/>
        <c:axPos val="l"/>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120275648"/>
        <c:crosses val="autoZero"/>
        <c:auto val="1"/>
        <c:lblAlgn val="ctr"/>
        <c:lblOffset val="100"/>
        <c:noMultiLvlLbl val="0"/>
      </c:catAx>
      <c:valAx>
        <c:axId val="120275648"/>
        <c:scaling>
          <c:orientation val="minMax"/>
        </c:scaling>
        <c:delete val="1"/>
        <c:axPos val="b"/>
        <c:numFmt formatCode="General" sourceLinked="1"/>
        <c:majorTickMark val="none"/>
        <c:minorTickMark val="none"/>
        <c:tickLblPos val="nextTo"/>
        <c:crossAx val="12027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Worksheet.xlsx]PIVOT_TABLE!PivotTable5</c:name>
    <c:fmtId val="12"/>
  </c:pivotSource>
  <c:chart>
    <c:title>
      <c:tx>
        <c:rich>
          <a:bodyPr rot="0" spcFirstLastPara="1" vertOverflow="ellipsis" vert="horz" wrap="square" anchor="ctr" anchorCtr="1"/>
          <a:lstStyle/>
          <a:p>
            <a:pPr>
              <a:defRPr sz="11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r>
              <a:rPr lang="en-US" sz="1100" b="1" cap="none" spc="0">
                <a:ln w="0"/>
                <a:solidFill>
                  <a:srgbClr val="FFC000"/>
                </a:solidFill>
                <a:effectLst>
                  <a:outerShdw blurRad="38100" dist="19050" dir="2700000" algn="tl" rotWithShape="0">
                    <a:schemeClr val="dk1">
                      <a:alpha val="40000"/>
                    </a:schemeClr>
                  </a:outerShdw>
                </a:effectLst>
              </a:rPr>
              <a:t>Customer</a:t>
            </a:r>
            <a:r>
              <a:rPr lang="en-US" sz="1100" b="1" cap="none" spc="0" baseline="0">
                <a:ln w="0"/>
                <a:solidFill>
                  <a:srgbClr val="FFC000"/>
                </a:solidFill>
                <a:effectLst>
                  <a:outerShdw blurRad="38100" dist="19050" dir="2700000" algn="tl" rotWithShape="0">
                    <a:schemeClr val="dk1">
                      <a:alpha val="40000"/>
                    </a:schemeClr>
                  </a:outerShdw>
                </a:effectLst>
              </a:rPr>
              <a:t> Distribution</a:t>
            </a:r>
            <a:endParaRPr lang="en-US" sz="1100" b="1" cap="none" spc="0">
              <a:ln w="0"/>
              <a:solidFill>
                <a:srgbClr val="FFC000"/>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1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PIVOT_TABLE!$B$72</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PIVOT_TABLE!$A$73:$A$77</c:f>
              <c:strCache>
                <c:ptCount val="4"/>
                <c:pt idx="0">
                  <c:v>Female</c:v>
                </c:pt>
                <c:pt idx="1">
                  <c:v>Male</c:v>
                </c:pt>
                <c:pt idx="2">
                  <c:v>Non-binary</c:v>
                </c:pt>
                <c:pt idx="3">
                  <c:v>Unknown</c:v>
                </c:pt>
              </c:strCache>
            </c:strRef>
          </c:cat>
          <c:val>
            <c:numRef>
              <c:f>PIVOT_TABLE!$B$73:$B$77</c:f>
              <c:numCache>
                <c:formatCode>General</c:formatCode>
                <c:ptCount val="4"/>
                <c:pt idx="0">
                  <c:v>2</c:v>
                </c:pt>
                <c:pt idx="1">
                  <c:v>10</c:v>
                </c:pt>
                <c:pt idx="2">
                  <c:v>7</c:v>
                </c:pt>
                <c:pt idx="3">
                  <c:v>15</c:v>
                </c:pt>
              </c:numCache>
            </c:numRef>
          </c:val>
          <c:extLst>
            <c:ext xmlns:c16="http://schemas.microsoft.com/office/drawing/2014/chart" uri="{C3380CC4-5D6E-409C-BE32-E72D297353CC}">
              <c16:uniqueId val="{00000000-01A7-45CE-B733-2312F56DD672}"/>
            </c:ext>
          </c:extLst>
        </c:ser>
        <c:dLbls>
          <c:showLegendKey val="0"/>
          <c:showVal val="0"/>
          <c:showCatName val="0"/>
          <c:showSerName val="0"/>
          <c:showPercent val="0"/>
          <c:showBubbleSize val="0"/>
        </c:dLbls>
        <c:gapWidth val="219"/>
        <c:overlap val="-27"/>
        <c:axId val="1886190399"/>
        <c:axId val="1886204799"/>
      </c:barChart>
      <c:catAx>
        <c:axId val="1886190399"/>
        <c:scaling>
          <c:orientation val="minMax"/>
        </c:scaling>
        <c:delete val="0"/>
        <c:axPos val="b"/>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cap="none" spc="0" baseline="0">
                <a:ln w="0"/>
                <a:solidFill>
                  <a:srgbClr val="FFC000"/>
                </a:solidFill>
                <a:effectLst>
                  <a:outerShdw blurRad="38100" dist="19050" dir="2700000" algn="tl" rotWithShape="0">
                    <a:schemeClr val="dk1">
                      <a:alpha val="40000"/>
                    </a:schemeClr>
                  </a:outerShdw>
                </a:effectLst>
                <a:latin typeface="+mn-lt"/>
                <a:ea typeface="+mn-ea"/>
                <a:cs typeface="+mn-cs"/>
              </a:defRPr>
            </a:pPr>
            <a:endParaRPr lang="en-US"/>
          </a:p>
        </c:txPr>
        <c:crossAx val="1886204799"/>
        <c:crosses val="autoZero"/>
        <c:auto val="1"/>
        <c:lblAlgn val="ctr"/>
        <c:lblOffset val="100"/>
        <c:noMultiLvlLbl val="0"/>
      </c:catAx>
      <c:valAx>
        <c:axId val="1886204799"/>
        <c:scaling>
          <c:orientation val="minMax"/>
        </c:scaling>
        <c:delete val="1"/>
        <c:axPos val="l"/>
        <c:numFmt formatCode="General" sourceLinked="1"/>
        <c:majorTickMark val="none"/>
        <c:minorTickMark val="none"/>
        <c:tickLblPos val="nextTo"/>
        <c:crossAx val="188619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5.png"/><Relationship Id="rId2" Type="http://schemas.openxmlformats.org/officeDocument/2006/relationships/hyperlink" Target="#'Manufacturing &amp; Production'!A1"/><Relationship Id="rId1" Type="http://schemas.openxmlformats.org/officeDocument/2006/relationships/hyperlink" Target="#'Sales &amp; Product Performance'!A1"/><Relationship Id="rId6" Type="http://schemas.openxmlformats.org/officeDocument/2006/relationships/chart" Target="../charts/chart4.xml"/><Relationship Id="rId11" Type="http://schemas.openxmlformats.org/officeDocument/2006/relationships/image" Target="../media/image4.svg"/><Relationship Id="rId5" Type="http://schemas.openxmlformats.org/officeDocument/2006/relationships/chart" Target="../charts/chart3.xml"/><Relationship Id="rId10" Type="http://schemas.openxmlformats.org/officeDocument/2006/relationships/image" Target="../media/image3.png"/><Relationship Id="rId4" Type="http://schemas.openxmlformats.org/officeDocument/2006/relationships/chart" Target="../charts/chart2.xml"/><Relationship Id="rId9"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9.png"/><Relationship Id="rId3" Type="http://schemas.openxmlformats.org/officeDocument/2006/relationships/hyperlink" Target="#'Supplier &amp; Logistics'!A1"/><Relationship Id="rId7" Type="http://schemas.openxmlformats.org/officeDocument/2006/relationships/chart" Target="../charts/chart9.xml"/><Relationship Id="rId12" Type="http://schemas.openxmlformats.org/officeDocument/2006/relationships/image" Target="../media/image8.svg"/><Relationship Id="rId2" Type="http://schemas.openxmlformats.org/officeDocument/2006/relationships/hyperlink" Target="#'DASHBOARD (2)'!A1"/><Relationship Id="rId1" Type="http://schemas.openxmlformats.org/officeDocument/2006/relationships/hyperlink" Target="#'Sales &amp; Product Performance'!A1"/><Relationship Id="rId6" Type="http://schemas.openxmlformats.org/officeDocument/2006/relationships/chart" Target="../charts/chart8.xml"/><Relationship Id="rId11" Type="http://schemas.openxmlformats.org/officeDocument/2006/relationships/image" Target="../media/image7.png"/><Relationship Id="rId5" Type="http://schemas.openxmlformats.org/officeDocument/2006/relationships/chart" Target="../charts/chart7.xml"/><Relationship Id="rId15" Type="http://schemas.openxmlformats.org/officeDocument/2006/relationships/chart" Target="../charts/chart11.xml"/><Relationship Id="rId10" Type="http://schemas.openxmlformats.org/officeDocument/2006/relationships/image" Target="../media/image2.svg"/><Relationship Id="rId4" Type="http://schemas.openxmlformats.org/officeDocument/2006/relationships/chart" Target="../charts/chart6.xml"/><Relationship Id="rId9" Type="http://schemas.openxmlformats.org/officeDocument/2006/relationships/image" Target="../media/image1.png"/><Relationship Id="rId1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13.png"/><Relationship Id="rId3" Type="http://schemas.openxmlformats.org/officeDocument/2006/relationships/chart" Target="../charts/chart14.xml"/><Relationship Id="rId7" Type="http://schemas.openxmlformats.org/officeDocument/2006/relationships/chart" Target="../charts/chart16.xml"/><Relationship Id="rId12" Type="http://schemas.openxmlformats.org/officeDocument/2006/relationships/image" Target="../media/image12.sv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hyperlink" Target="#'Supplier &amp; Logistics'!A1"/><Relationship Id="rId11" Type="http://schemas.openxmlformats.org/officeDocument/2006/relationships/image" Target="../media/image11.png"/><Relationship Id="rId5" Type="http://schemas.openxmlformats.org/officeDocument/2006/relationships/hyperlink" Target="#'Manufacturing &amp; Production'!A1"/><Relationship Id="rId10" Type="http://schemas.openxmlformats.org/officeDocument/2006/relationships/image" Target="../media/image2.svg"/><Relationship Id="rId4" Type="http://schemas.openxmlformats.org/officeDocument/2006/relationships/chart" Target="../charts/chart15.xml"/><Relationship Id="rId9" Type="http://schemas.openxmlformats.org/officeDocument/2006/relationships/image" Target="../media/image1.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18</xdr:col>
      <xdr:colOff>19051</xdr:colOff>
      <xdr:row>28</xdr:row>
      <xdr:rowOff>161925</xdr:rowOff>
    </xdr:to>
    <xdr:sp macro="" textlink="">
      <xdr:nvSpPr>
        <xdr:cNvPr id="2" name="Rectangle 1">
          <a:extLst>
            <a:ext uri="{FF2B5EF4-FFF2-40B4-BE49-F238E27FC236}">
              <a16:creationId xmlns:a16="http://schemas.microsoft.com/office/drawing/2014/main" id="{17EA1BD1-3933-4DCA-8896-49470D276C2B}"/>
            </a:ext>
          </a:extLst>
        </xdr:cNvPr>
        <xdr:cNvSpPr/>
      </xdr:nvSpPr>
      <xdr:spPr>
        <a:xfrm>
          <a:off x="1" y="0"/>
          <a:ext cx="10991850" cy="549592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476250</xdr:colOff>
      <xdr:row>0</xdr:row>
      <xdr:rowOff>123825</xdr:rowOff>
    </xdr:from>
    <xdr:to>
      <xdr:col>9</xdr:col>
      <xdr:colOff>123825</xdr:colOff>
      <xdr:row>2</xdr:row>
      <xdr:rowOff>85725</xdr:rowOff>
    </xdr:to>
    <xdr:sp macro="" textlink="">
      <xdr:nvSpPr>
        <xdr:cNvPr id="3" name="Rectangle 2">
          <a:extLst>
            <a:ext uri="{FF2B5EF4-FFF2-40B4-BE49-F238E27FC236}">
              <a16:creationId xmlns:a16="http://schemas.microsoft.com/office/drawing/2014/main" id="{D795862F-9D7C-49E4-85C4-2E946FB44C03}"/>
            </a:ext>
          </a:extLst>
        </xdr:cNvPr>
        <xdr:cNvSpPr/>
      </xdr:nvSpPr>
      <xdr:spPr>
        <a:xfrm>
          <a:off x="4133850" y="123825"/>
          <a:ext cx="14763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a:solidFill>
              <a:srgbClr val="FFC000"/>
            </a:solidFill>
          </a:endParaRPr>
        </a:p>
      </xdr:txBody>
    </xdr:sp>
    <xdr:clientData/>
  </xdr:twoCellAnchor>
  <xdr:twoCellAnchor>
    <xdr:from>
      <xdr:col>0</xdr:col>
      <xdr:colOff>0</xdr:colOff>
      <xdr:row>0</xdr:row>
      <xdr:rowOff>0</xdr:rowOff>
    </xdr:from>
    <xdr:to>
      <xdr:col>4</xdr:col>
      <xdr:colOff>66674</xdr:colOff>
      <xdr:row>28</xdr:row>
      <xdr:rowOff>142875</xdr:rowOff>
    </xdr:to>
    <xdr:sp macro="" textlink="">
      <xdr:nvSpPr>
        <xdr:cNvPr id="19" name="Rectangle 18">
          <a:extLst>
            <a:ext uri="{FF2B5EF4-FFF2-40B4-BE49-F238E27FC236}">
              <a16:creationId xmlns:a16="http://schemas.microsoft.com/office/drawing/2014/main" id="{D1F74F47-B44D-45BA-A49E-E0FB71BCD223}"/>
            </a:ext>
          </a:extLst>
        </xdr:cNvPr>
        <xdr:cNvSpPr/>
      </xdr:nvSpPr>
      <xdr:spPr>
        <a:xfrm>
          <a:off x="0" y="0"/>
          <a:ext cx="2505074" cy="5476875"/>
        </a:xfrm>
        <a:prstGeom prst="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76199</xdr:colOff>
      <xdr:row>0</xdr:row>
      <xdr:rowOff>133350</xdr:rowOff>
    </xdr:from>
    <xdr:to>
      <xdr:col>3</xdr:col>
      <xdr:colOff>581025</xdr:colOff>
      <xdr:row>2</xdr:row>
      <xdr:rowOff>104776</xdr:rowOff>
    </xdr:to>
    <xdr:sp macro="" textlink="">
      <xdr:nvSpPr>
        <xdr:cNvPr id="20" name="TextBox 19">
          <a:extLst>
            <a:ext uri="{FF2B5EF4-FFF2-40B4-BE49-F238E27FC236}">
              <a16:creationId xmlns:a16="http://schemas.microsoft.com/office/drawing/2014/main" id="{4A9A8578-A31E-46A5-925C-90082776865E}"/>
            </a:ext>
          </a:extLst>
        </xdr:cNvPr>
        <xdr:cNvSpPr txBox="1"/>
      </xdr:nvSpPr>
      <xdr:spPr>
        <a:xfrm>
          <a:off x="76199" y="133350"/>
          <a:ext cx="233362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u="sng">
              <a:solidFill>
                <a:srgbClr val="FFC000"/>
              </a:solidFill>
            </a:rPr>
            <a:t>Supply</a:t>
          </a:r>
          <a:r>
            <a:rPr lang="en-US" sz="1800" b="1" u="sng" baseline="0">
              <a:solidFill>
                <a:srgbClr val="FFC000"/>
              </a:solidFill>
            </a:rPr>
            <a:t> Chain Analysis</a:t>
          </a:r>
          <a:endParaRPr lang="en-US" sz="1800" b="1" u="sng">
            <a:solidFill>
              <a:srgbClr val="FFC000"/>
            </a:solidFill>
          </a:endParaRPr>
        </a:p>
      </xdr:txBody>
    </xdr:sp>
    <xdr:clientData/>
  </xdr:twoCellAnchor>
  <xdr:twoCellAnchor>
    <xdr:from>
      <xdr:col>0</xdr:col>
      <xdr:colOff>71436</xdr:colOff>
      <xdr:row>3</xdr:row>
      <xdr:rowOff>19050</xdr:rowOff>
    </xdr:from>
    <xdr:to>
      <xdr:col>4</xdr:col>
      <xdr:colOff>0</xdr:colOff>
      <xdr:row>4</xdr:row>
      <xdr:rowOff>161925</xdr:rowOff>
    </xdr:to>
    <xdr:sp macro="" textlink="">
      <xdr:nvSpPr>
        <xdr:cNvPr id="21" name="TextBox 20">
          <a:hlinkClick xmlns:r="http://schemas.openxmlformats.org/officeDocument/2006/relationships" r:id="rId1"/>
          <a:extLst>
            <a:ext uri="{FF2B5EF4-FFF2-40B4-BE49-F238E27FC236}">
              <a16:creationId xmlns:a16="http://schemas.microsoft.com/office/drawing/2014/main" id="{692A335C-FDC3-40E1-B252-570620FC7979}"/>
            </a:ext>
          </a:extLst>
        </xdr:cNvPr>
        <xdr:cNvSpPr txBox="1"/>
      </xdr:nvSpPr>
      <xdr:spPr>
        <a:xfrm>
          <a:off x="71436" y="590550"/>
          <a:ext cx="236696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FFC000"/>
              </a:solidFill>
            </a:rPr>
            <a:t>Sales</a:t>
          </a:r>
          <a:r>
            <a:rPr lang="en-US" sz="1400" b="1" baseline="0">
              <a:solidFill>
                <a:srgbClr val="FFC000"/>
              </a:solidFill>
            </a:rPr>
            <a:t> &amp; Product Performance</a:t>
          </a:r>
          <a:endParaRPr lang="en-US" sz="1400" b="1">
            <a:solidFill>
              <a:srgbClr val="FFC000"/>
            </a:solidFill>
          </a:endParaRPr>
        </a:p>
      </xdr:txBody>
    </xdr:sp>
    <xdr:clientData/>
  </xdr:twoCellAnchor>
  <xdr:twoCellAnchor>
    <xdr:from>
      <xdr:col>0</xdr:col>
      <xdr:colOff>71436</xdr:colOff>
      <xdr:row>5</xdr:row>
      <xdr:rowOff>52387</xdr:rowOff>
    </xdr:from>
    <xdr:to>
      <xdr:col>3</xdr:col>
      <xdr:colOff>552449</xdr:colOff>
      <xdr:row>7</xdr:row>
      <xdr:rowOff>4762</xdr:rowOff>
    </xdr:to>
    <xdr:sp macro="" textlink="">
      <xdr:nvSpPr>
        <xdr:cNvPr id="22" name="TextBox 21">
          <a:hlinkClick xmlns:r="http://schemas.openxmlformats.org/officeDocument/2006/relationships" r:id="rId2"/>
          <a:extLst>
            <a:ext uri="{FF2B5EF4-FFF2-40B4-BE49-F238E27FC236}">
              <a16:creationId xmlns:a16="http://schemas.microsoft.com/office/drawing/2014/main" id="{DE1BD43C-6D66-4A2F-AF13-F9D96D10906A}"/>
            </a:ext>
          </a:extLst>
        </xdr:cNvPr>
        <xdr:cNvSpPr txBox="1"/>
      </xdr:nvSpPr>
      <xdr:spPr>
        <a:xfrm>
          <a:off x="71436" y="1004887"/>
          <a:ext cx="2309813"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FFC000"/>
              </a:solidFill>
            </a:rPr>
            <a:t>Manufacturing</a:t>
          </a:r>
          <a:r>
            <a:rPr lang="en-US" sz="1400" b="1" baseline="0">
              <a:solidFill>
                <a:srgbClr val="FFC000"/>
              </a:solidFill>
            </a:rPr>
            <a:t> &amp; Production</a:t>
          </a:r>
          <a:endParaRPr lang="en-US" sz="1400" b="1">
            <a:solidFill>
              <a:srgbClr val="FFC000"/>
            </a:solidFill>
          </a:endParaRPr>
        </a:p>
      </xdr:txBody>
    </xdr:sp>
    <xdr:clientData/>
  </xdr:twoCellAnchor>
  <xdr:twoCellAnchor>
    <xdr:from>
      <xdr:col>0</xdr:col>
      <xdr:colOff>71436</xdr:colOff>
      <xdr:row>7</xdr:row>
      <xdr:rowOff>85725</xdr:rowOff>
    </xdr:from>
    <xdr:to>
      <xdr:col>3</xdr:col>
      <xdr:colOff>514349</xdr:colOff>
      <xdr:row>9</xdr:row>
      <xdr:rowOff>38100</xdr:rowOff>
    </xdr:to>
    <xdr:sp macro="" textlink="">
      <xdr:nvSpPr>
        <xdr:cNvPr id="23" name="TextBox 22">
          <a:extLst>
            <a:ext uri="{FF2B5EF4-FFF2-40B4-BE49-F238E27FC236}">
              <a16:creationId xmlns:a16="http://schemas.microsoft.com/office/drawing/2014/main" id="{0F99149E-1936-487D-A1C5-FCE72234938A}"/>
            </a:ext>
          </a:extLst>
        </xdr:cNvPr>
        <xdr:cNvSpPr txBox="1"/>
      </xdr:nvSpPr>
      <xdr:spPr>
        <a:xfrm>
          <a:off x="71436" y="1419225"/>
          <a:ext cx="2271713"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FFC000"/>
              </a:solidFill>
            </a:rPr>
            <a:t>Supplier</a:t>
          </a:r>
          <a:r>
            <a:rPr lang="en-US" sz="1400" b="1" baseline="0">
              <a:solidFill>
                <a:srgbClr val="FFC000"/>
              </a:solidFill>
            </a:rPr>
            <a:t> &amp; Logistics</a:t>
          </a:r>
          <a:endParaRPr lang="en-US" sz="1400" b="1">
            <a:solidFill>
              <a:srgbClr val="FFC000"/>
            </a:solidFill>
          </a:endParaRPr>
        </a:p>
      </xdr:txBody>
    </xdr:sp>
    <xdr:clientData/>
  </xdr:twoCellAnchor>
  <xdr:twoCellAnchor>
    <xdr:from>
      <xdr:col>4</xdr:col>
      <xdr:colOff>133351</xdr:colOff>
      <xdr:row>4</xdr:row>
      <xdr:rowOff>114299</xdr:rowOff>
    </xdr:from>
    <xdr:to>
      <xdr:col>9</xdr:col>
      <xdr:colOff>352425</xdr:colOff>
      <xdr:row>16</xdr:row>
      <xdr:rowOff>28574</xdr:rowOff>
    </xdr:to>
    <xdr:graphicFrame macro="">
      <xdr:nvGraphicFramePr>
        <xdr:cNvPr id="31" name="Chart 30">
          <a:extLst>
            <a:ext uri="{FF2B5EF4-FFF2-40B4-BE49-F238E27FC236}">
              <a16:creationId xmlns:a16="http://schemas.microsoft.com/office/drawing/2014/main" id="{F1A70557-9328-4A85-929B-E5E50F036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466725</xdr:colOff>
      <xdr:row>16</xdr:row>
      <xdr:rowOff>47626</xdr:rowOff>
    </xdr:from>
    <xdr:to>
      <xdr:col>17</xdr:col>
      <xdr:colOff>581024</xdr:colOff>
      <xdr:row>28</xdr:row>
      <xdr:rowOff>123825</xdr:rowOff>
    </xdr:to>
    <xdr:graphicFrame macro="">
      <xdr:nvGraphicFramePr>
        <xdr:cNvPr id="32" name="Chart 31">
          <a:extLst>
            <a:ext uri="{FF2B5EF4-FFF2-40B4-BE49-F238E27FC236}">
              <a16:creationId xmlns:a16="http://schemas.microsoft.com/office/drawing/2014/main" id="{FEDD3E0A-CFC2-4590-A25F-9AC1653CA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104775</xdr:colOff>
      <xdr:row>16</xdr:row>
      <xdr:rowOff>57150</xdr:rowOff>
    </xdr:from>
    <xdr:to>
      <xdr:col>11</xdr:col>
      <xdr:colOff>409575</xdr:colOff>
      <xdr:row>28</xdr:row>
      <xdr:rowOff>114300</xdr:rowOff>
    </xdr:to>
    <xdr:graphicFrame macro="">
      <xdr:nvGraphicFramePr>
        <xdr:cNvPr id="33" name="Chart 32">
          <a:extLst>
            <a:ext uri="{FF2B5EF4-FFF2-40B4-BE49-F238E27FC236}">
              <a16:creationId xmlns:a16="http://schemas.microsoft.com/office/drawing/2014/main" id="{6C508AB7-8EBF-43CA-BA8C-972D317BE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390526</xdr:colOff>
      <xdr:row>4</xdr:row>
      <xdr:rowOff>133351</xdr:rowOff>
    </xdr:from>
    <xdr:to>
      <xdr:col>13</xdr:col>
      <xdr:colOff>466726</xdr:colOff>
      <xdr:row>16</xdr:row>
      <xdr:rowOff>1</xdr:rowOff>
    </xdr:to>
    <xdr:graphicFrame macro="">
      <xdr:nvGraphicFramePr>
        <xdr:cNvPr id="34" name="Chart 33">
          <a:extLst>
            <a:ext uri="{FF2B5EF4-FFF2-40B4-BE49-F238E27FC236}">
              <a16:creationId xmlns:a16="http://schemas.microsoft.com/office/drawing/2014/main" id="{5975D99A-94DC-41F5-9EAD-D46239E77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514350</xdr:colOff>
      <xdr:row>4</xdr:row>
      <xdr:rowOff>114301</xdr:rowOff>
    </xdr:from>
    <xdr:to>
      <xdr:col>17</xdr:col>
      <xdr:colOff>581025</xdr:colOff>
      <xdr:row>15</xdr:row>
      <xdr:rowOff>171451</xdr:rowOff>
    </xdr:to>
    <xdr:graphicFrame macro="">
      <xdr:nvGraphicFramePr>
        <xdr:cNvPr id="35" name="Chart 34">
          <a:extLst>
            <a:ext uri="{FF2B5EF4-FFF2-40B4-BE49-F238E27FC236}">
              <a16:creationId xmlns:a16="http://schemas.microsoft.com/office/drawing/2014/main" id="{2AF216E5-8A0B-4F6C-B641-43D5FF20D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114300</xdr:colOff>
      <xdr:row>0</xdr:row>
      <xdr:rowOff>28575</xdr:rowOff>
    </xdr:from>
    <xdr:to>
      <xdr:col>8</xdr:col>
      <xdr:colOff>438150</xdr:colOff>
      <xdr:row>4</xdr:row>
      <xdr:rowOff>57150</xdr:rowOff>
    </xdr:to>
    <xdr:sp macro="" textlink="">
      <xdr:nvSpPr>
        <xdr:cNvPr id="38" name="Rectangle: Rounded Corners 37">
          <a:extLst>
            <a:ext uri="{FF2B5EF4-FFF2-40B4-BE49-F238E27FC236}">
              <a16:creationId xmlns:a16="http://schemas.microsoft.com/office/drawing/2014/main" id="{02D7BC3E-5C7B-69F3-DC3D-B43093160B23}"/>
            </a:ext>
          </a:extLst>
        </xdr:cNvPr>
        <xdr:cNvSpPr/>
      </xdr:nvSpPr>
      <xdr:spPr>
        <a:xfrm>
          <a:off x="2552700" y="28575"/>
          <a:ext cx="2762250" cy="790575"/>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295276</xdr:colOff>
      <xdr:row>2</xdr:row>
      <xdr:rowOff>133349</xdr:rowOff>
    </xdr:from>
    <xdr:to>
      <xdr:col>8</xdr:col>
      <xdr:colOff>571500</xdr:colOff>
      <xdr:row>4</xdr:row>
      <xdr:rowOff>114298</xdr:rowOff>
    </xdr:to>
    <xdr:sp macro="" textlink="">
      <xdr:nvSpPr>
        <xdr:cNvPr id="39" name="Rectangle: Rounded Corners 38">
          <a:extLst>
            <a:ext uri="{FF2B5EF4-FFF2-40B4-BE49-F238E27FC236}">
              <a16:creationId xmlns:a16="http://schemas.microsoft.com/office/drawing/2014/main" id="{ABE7D547-99B7-A42D-C830-216B68A94271}"/>
            </a:ext>
          </a:extLst>
        </xdr:cNvPr>
        <xdr:cNvSpPr/>
      </xdr:nvSpPr>
      <xdr:spPr>
        <a:xfrm>
          <a:off x="3952876" y="514349"/>
          <a:ext cx="1495424" cy="3619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C000"/>
              </a:solidFill>
            </a:rPr>
            <a:t>Avg</a:t>
          </a:r>
          <a:r>
            <a:rPr lang="en-US" sz="1200" b="1" baseline="0">
              <a:solidFill>
                <a:srgbClr val="FFC000"/>
              </a:solidFill>
            </a:rPr>
            <a:t> Shipping Time</a:t>
          </a:r>
          <a:endParaRPr lang="en-US" sz="1200" b="1">
            <a:solidFill>
              <a:srgbClr val="FFC000"/>
            </a:solidFill>
          </a:endParaRPr>
        </a:p>
      </xdr:txBody>
    </xdr:sp>
    <xdr:clientData/>
  </xdr:twoCellAnchor>
  <xdr:twoCellAnchor>
    <xdr:from>
      <xdr:col>5</xdr:col>
      <xdr:colOff>561975</xdr:colOff>
      <xdr:row>0</xdr:row>
      <xdr:rowOff>47624</xdr:rowOff>
    </xdr:from>
    <xdr:to>
      <xdr:col>8</xdr:col>
      <xdr:colOff>361950</xdr:colOff>
      <xdr:row>2</xdr:row>
      <xdr:rowOff>180974</xdr:rowOff>
    </xdr:to>
    <xdr:sp macro="" textlink="PIVOT_TABLE!H10">
      <xdr:nvSpPr>
        <xdr:cNvPr id="40" name="Rectangle: Rounded Corners 39">
          <a:extLst>
            <a:ext uri="{FF2B5EF4-FFF2-40B4-BE49-F238E27FC236}">
              <a16:creationId xmlns:a16="http://schemas.microsoft.com/office/drawing/2014/main" id="{7C1FD4DA-A97B-A413-C88C-6B03B1AA8331}"/>
            </a:ext>
          </a:extLst>
        </xdr:cNvPr>
        <xdr:cNvSpPr/>
      </xdr:nvSpPr>
      <xdr:spPr>
        <a:xfrm>
          <a:off x="3609975" y="47624"/>
          <a:ext cx="1628775" cy="5143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4BD89F50-0A05-4CB0-9CB4-D7D4F6987F10}" type="TxLink">
            <a:rPr lang="en-US" sz="2400" b="1" i="0" u="none" strike="noStrike">
              <a:solidFill>
                <a:srgbClr val="FFC000"/>
              </a:solidFill>
              <a:latin typeface="Calibri"/>
              <a:cs typeface="Calibri"/>
            </a:rPr>
            <a:pPr algn="r"/>
            <a:t>6</a:t>
          </a:fld>
          <a:endParaRPr lang="en-US" sz="2400" b="1">
            <a:solidFill>
              <a:srgbClr val="FFC000"/>
            </a:solidFill>
          </a:endParaRPr>
        </a:p>
      </xdr:txBody>
    </xdr:sp>
    <xdr:clientData/>
  </xdr:twoCellAnchor>
  <xdr:twoCellAnchor>
    <xdr:from>
      <xdr:col>8</xdr:col>
      <xdr:colOff>500062</xdr:colOff>
      <xdr:row>0</xdr:row>
      <xdr:rowOff>33337</xdr:rowOff>
    </xdr:from>
    <xdr:to>
      <xdr:col>13</xdr:col>
      <xdr:colOff>214312</xdr:colOff>
      <xdr:row>4</xdr:row>
      <xdr:rowOff>61912</xdr:rowOff>
    </xdr:to>
    <xdr:sp macro="" textlink="">
      <xdr:nvSpPr>
        <xdr:cNvPr id="48" name="Rectangle: Rounded Corners 47">
          <a:extLst>
            <a:ext uri="{FF2B5EF4-FFF2-40B4-BE49-F238E27FC236}">
              <a16:creationId xmlns:a16="http://schemas.microsoft.com/office/drawing/2014/main" id="{3876C8C3-6E9F-4728-338B-AAC730F236FB}"/>
            </a:ext>
          </a:extLst>
        </xdr:cNvPr>
        <xdr:cNvSpPr/>
      </xdr:nvSpPr>
      <xdr:spPr>
        <a:xfrm>
          <a:off x="5376862" y="33337"/>
          <a:ext cx="2762250" cy="790575"/>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119063</xdr:colOff>
      <xdr:row>2</xdr:row>
      <xdr:rowOff>123824</xdr:rowOff>
    </xdr:from>
    <xdr:to>
      <xdr:col>13</xdr:col>
      <xdr:colOff>395287</xdr:colOff>
      <xdr:row>4</xdr:row>
      <xdr:rowOff>104773</xdr:rowOff>
    </xdr:to>
    <xdr:sp macro="" textlink="">
      <xdr:nvSpPr>
        <xdr:cNvPr id="49" name="Rectangle: Rounded Corners 48">
          <a:extLst>
            <a:ext uri="{FF2B5EF4-FFF2-40B4-BE49-F238E27FC236}">
              <a16:creationId xmlns:a16="http://schemas.microsoft.com/office/drawing/2014/main" id="{3E32627D-5486-F57F-A1EB-6DEFCCB8A7D7}"/>
            </a:ext>
          </a:extLst>
        </xdr:cNvPr>
        <xdr:cNvSpPr/>
      </xdr:nvSpPr>
      <xdr:spPr>
        <a:xfrm>
          <a:off x="6824663" y="504824"/>
          <a:ext cx="1495424" cy="3619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C000"/>
              </a:solidFill>
            </a:rPr>
            <a:t>Avg</a:t>
          </a:r>
          <a:r>
            <a:rPr lang="en-US" sz="1200" b="1" baseline="0">
              <a:solidFill>
                <a:srgbClr val="FFC000"/>
              </a:solidFill>
            </a:rPr>
            <a:t> Shipping Cost</a:t>
          </a:r>
          <a:endParaRPr lang="en-US" sz="1200" b="1">
            <a:solidFill>
              <a:srgbClr val="FFC000"/>
            </a:solidFill>
          </a:endParaRPr>
        </a:p>
      </xdr:txBody>
    </xdr:sp>
    <xdr:clientData/>
  </xdr:twoCellAnchor>
  <xdr:twoCellAnchor>
    <xdr:from>
      <xdr:col>10</xdr:col>
      <xdr:colOff>347662</xdr:colOff>
      <xdr:row>0</xdr:row>
      <xdr:rowOff>47624</xdr:rowOff>
    </xdr:from>
    <xdr:to>
      <xdr:col>13</xdr:col>
      <xdr:colOff>147637</xdr:colOff>
      <xdr:row>2</xdr:row>
      <xdr:rowOff>180974</xdr:rowOff>
    </xdr:to>
    <xdr:sp macro="" textlink="PIVOT_TABLE!H14">
      <xdr:nvSpPr>
        <xdr:cNvPr id="50" name="Rectangle: Rounded Corners 49">
          <a:extLst>
            <a:ext uri="{FF2B5EF4-FFF2-40B4-BE49-F238E27FC236}">
              <a16:creationId xmlns:a16="http://schemas.microsoft.com/office/drawing/2014/main" id="{CBFB2F8B-1CCD-65F6-1FD6-985EAA9DFCCD}"/>
            </a:ext>
          </a:extLst>
        </xdr:cNvPr>
        <xdr:cNvSpPr/>
      </xdr:nvSpPr>
      <xdr:spPr>
        <a:xfrm>
          <a:off x="6443662" y="47624"/>
          <a:ext cx="1628775" cy="5143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C69B887D-51D3-41A1-8C5B-3EE42D9FD683}" type="TxLink">
            <a:rPr lang="en-US" sz="1100" b="0" i="0" u="none" strike="noStrike">
              <a:solidFill>
                <a:srgbClr val="000000"/>
              </a:solidFill>
              <a:latin typeface="Calibri"/>
              <a:cs typeface="Calibri"/>
            </a:rPr>
            <a:pPr algn="r"/>
            <a:t>6</a:t>
          </a:fld>
          <a:endParaRPr lang="en-US" sz="2800" b="1">
            <a:solidFill>
              <a:srgbClr val="FFC000"/>
            </a:solidFill>
          </a:endParaRPr>
        </a:p>
      </xdr:txBody>
    </xdr:sp>
    <xdr:clientData/>
  </xdr:twoCellAnchor>
  <xdr:twoCellAnchor>
    <xdr:from>
      <xdr:col>8</xdr:col>
      <xdr:colOff>595312</xdr:colOff>
      <xdr:row>0</xdr:row>
      <xdr:rowOff>76198</xdr:rowOff>
    </xdr:from>
    <xdr:to>
      <xdr:col>10</xdr:col>
      <xdr:colOff>290512</xdr:colOff>
      <xdr:row>4</xdr:row>
      <xdr:rowOff>85723</xdr:rowOff>
    </xdr:to>
    <xdr:pic>
      <xdr:nvPicPr>
        <xdr:cNvPr id="51" name="Graphic 50" descr="Money">
          <a:extLst>
            <a:ext uri="{FF2B5EF4-FFF2-40B4-BE49-F238E27FC236}">
              <a16:creationId xmlns:a16="http://schemas.microsoft.com/office/drawing/2014/main" id="{01351D4C-DA01-15AF-5880-34C788D56E5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472112" y="76198"/>
          <a:ext cx="914400" cy="771525"/>
        </a:xfrm>
        <a:prstGeom prst="rect">
          <a:avLst/>
        </a:prstGeom>
      </xdr:spPr>
    </xdr:pic>
    <xdr:clientData/>
  </xdr:twoCellAnchor>
  <xdr:twoCellAnchor editAs="oneCell">
    <xdr:from>
      <xdr:col>4</xdr:col>
      <xdr:colOff>161925</xdr:colOff>
      <xdr:row>0</xdr:row>
      <xdr:rowOff>66676</xdr:rowOff>
    </xdr:from>
    <xdr:to>
      <xdr:col>5</xdr:col>
      <xdr:colOff>419099</xdr:colOff>
      <xdr:row>4</xdr:row>
      <xdr:rowOff>171450</xdr:rowOff>
    </xdr:to>
    <xdr:pic>
      <xdr:nvPicPr>
        <xdr:cNvPr id="53" name="Graphic 52" descr="Truck">
          <a:extLst>
            <a:ext uri="{FF2B5EF4-FFF2-40B4-BE49-F238E27FC236}">
              <a16:creationId xmlns:a16="http://schemas.microsoft.com/office/drawing/2014/main" id="{5F4BD265-85E1-0E02-E1E1-F305686EBFA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00325" y="66676"/>
          <a:ext cx="866774" cy="866774"/>
        </a:xfrm>
        <a:prstGeom prst="rect">
          <a:avLst/>
        </a:prstGeom>
      </xdr:spPr>
    </xdr:pic>
    <xdr:clientData/>
  </xdr:twoCellAnchor>
  <xdr:twoCellAnchor>
    <xdr:from>
      <xdr:col>12</xdr:col>
      <xdr:colOff>295275</xdr:colOff>
      <xdr:row>0</xdr:row>
      <xdr:rowOff>66675</xdr:rowOff>
    </xdr:from>
    <xdr:to>
      <xdr:col>13</xdr:col>
      <xdr:colOff>190500</xdr:colOff>
      <xdr:row>2</xdr:row>
      <xdr:rowOff>57150</xdr:rowOff>
    </xdr:to>
    <xdr:sp macro="" textlink="PIVOT_TABLE!H14">
      <xdr:nvSpPr>
        <xdr:cNvPr id="54" name="Rectangle: Rounded Corners 53">
          <a:extLst>
            <a:ext uri="{FF2B5EF4-FFF2-40B4-BE49-F238E27FC236}">
              <a16:creationId xmlns:a16="http://schemas.microsoft.com/office/drawing/2014/main" id="{F82ECB04-185D-A85B-792F-881F78AF3DD9}"/>
            </a:ext>
          </a:extLst>
        </xdr:cNvPr>
        <xdr:cNvSpPr/>
      </xdr:nvSpPr>
      <xdr:spPr>
        <a:xfrm>
          <a:off x="7610475" y="66675"/>
          <a:ext cx="504825" cy="3714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9DC3EAF-A3CF-4480-8A23-259DEA5A954E}" type="TxLink">
            <a:rPr lang="en-US" sz="2400" b="1" i="0" u="none" strike="noStrike">
              <a:solidFill>
                <a:srgbClr val="FFC000"/>
              </a:solidFill>
              <a:latin typeface="Calibri"/>
              <a:cs typeface="Calibri"/>
            </a:rPr>
            <a:pPr algn="l"/>
            <a:t>6</a:t>
          </a:fld>
          <a:endParaRPr lang="en-US" sz="2400" b="1">
            <a:solidFill>
              <a:srgbClr val="FFC000"/>
            </a:solidFill>
          </a:endParaRPr>
        </a:p>
      </xdr:txBody>
    </xdr:sp>
    <xdr:clientData/>
  </xdr:twoCellAnchor>
  <xdr:twoCellAnchor editAs="oneCell">
    <xdr:from>
      <xdr:col>0</xdr:col>
      <xdr:colOff>85725</xdr:colOff>
      <xdr:row>9</xdr:row>
      <xdr:rowOff>180975</xdr:rowOff>
    </xdr:from>
    <xdr:to>
      <xdr:col>3</xdr:col>
      <xdr:colOff>342901</xdr:colOff>
      <xdr:row>16</xdr:row>
      <xdr:rowOff>66675</xdr:rowOff>
    </xdr:to>
    <mc:AlternateContent xmlns:mc="http://schemas.openxmlformats.org/markup-compatibility/2006" xmlns:a14="http://schemas.microsoft.com/office/drawing/2010/main">
      <mc:Choice Requires="a14">
        <xdr:graphicFrame macro="">
          <xdr:nvGraphicFramePr>
            <xdr:cNvPr id="4" name="Category 3">
              <a:extLst>
                <a:ext uri="{FF2B5EF4-FFF2-40B4-BE49-F238E27FC236}">
                  <a16:creationId xmlns:a16="http://schemas.microsoft.com/office/drawing/2014/main" id="{5123876B-52F6-4803-880E-950F9444B94E}"/>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85725" y="1895475"/>
              <a:ext cx="2085976"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247650</xdr:colOff>
      <xdr:row>0</xdr:row>
      <xdr:rowOff>0</xdr:rowOff>
    </xdr:from>
    <xdr:to>
      <xdr:col>18</xdr:col>
      <xdr:colOff>333375</xdr:colOff>
      <xdr:row>4</xdr:row>
      <xdr:rowOff>152400</xdr:rowOff>
    </xdr:to>
    <xdr:grpSp>
      <xdr:nvGrpSpPr>
        <xdr:cNvPr id="8" name="Group 7">
          <a:extLst>
            <a:ext uri="{FF2B5EF4-FFF2-40B4-BE49-F238E27FC236}">
              <a16:creationId xmlns:a16="http://schemas.microsoft.com/office/drawing/2014/main" id="{09AC44C7-C96F-D20B-0278-D7E886D9D29D}"/>
            </a:ext>
          </a:extLst>
        </xdr:cNvPr>
        <xdr:cNvGrpSpPr/>
      </xdr:nvGrpSpPr>
      <xdr:grpSpPr>
        <a:xfrm>
          <a:off x="8207829" y="0"/>
          <a:ext cx="3147332" cy="900793"/>
          <a:chOff x="8172450" y="0"/>
          <a:chExt cx="3133725" cy="914400"/>
        </a:xfrm>
      </xdr:grpSpPr>
      <xdr:sp macro="" textlink="">
        <xdr:nvSpPr>
          <xdr:cNvPr id="43" name="Rectangle: Rounded Corners 42">
            <a:extLst>
              <a:ext uri="{FF2B5EF4-FFF2-40B4-BE49-F238E27FC236}">
                <a16:creationId xmlns:a16="http://schemas.microsoft.com/office/drawing/2014/main" id="{1CBAED45-E95B-A00A-74D5-3B907726BC3A}"/>
              </a:ext>
            </a:extLst>
          </xdr:cNvPr>
          <xdr:cNvSpPr/>
        </xdr:nvSpPr>
        <xdr:spPr>
          <a:xfrm>
            <a:off x="8181975" y="52387"/>
            <a:ext cx="2762250" cy="790575"/>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Rounded Corners 43">
            <a:extLst>
              <a:ext uri="{FF2B5EF4-FFF2-40B4-BE49-F238E27FC236}">
                <a16:creationId xmlns:a16="http://schemas.microsoft.com/office/drawing/2014/main" id="{8FE9909F-7A90-A2D5-1C5D-3EBA69198A84}"/>
              </a:ext>
            </a:extLst>
          </xdr:cNvPr>
          <xdr:cNvSpPr/>
        </xdr:nvSpPr>
        <xdr:spPr>
          <a:xfrm>
            <a:off x="9305925" y="542924"/>
            <a:ext cx="2000250" cy="3619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C000"/>
                </a:solidFill>
              </a:rPr>
              <a:t>Avg</a:t>
            </a:r>
            <a:r>
              <a:rPr lang="en-US" sz="1200" b="1" baseline="0">
                <a:solidFill>
                  <a:srgbClr val="FFC000"/>
                </a:solidFill>
              </a:rPr>
              <a:t> Supplier Lead Time</a:t>
            </a:r>
            <a:endParaRPr lang="en-US" sz="1200" b="1">
              <a:solidFill>
                <a:srgbClr val="FFC000"/>
              </a:solidFill>
            </a:endParaRPr>
          </a:p>
        </xdr:txBody>
      </xdr:sp>
      <xdr:sp macro="" textlink="PIVOT_TABLE!H21">
        <xdr:nvSpPr>
          <xdr:cNvPr id="45" name="Rectangle: Rounded Corners 44">
            <a:extLst>
              <a:ext uri="{FF2B5EF4-FFF2-40B4-BE49-F238E27FC236}">
                <a16:creationId xmlns:a16="http://schemas.microsoft.com/office/drawing/2014/main" id="{AD3FE110-B58E-4525-C1C8-CFF10503A969}"/>
              </a:ext>
            </a:extLst>
          </xdr:cNvPr>
          <xdr:cNvSpPr/>
        </xdr:nvSpPr>
        <xdr:spPr>
          <a:xfrm>
            <a:off x="9734550" y="76199"/>
            <a:ext cx="1152525" cy="5143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5446B972-BA23-47FC-B921-DB9F48E68CE6}" type="TxLink">
              <a:rPr lang="en-US" sz="2400" b="1" i="0" u="none" strike="noStrike">
                <a:solidFill>
                  <a:srgbClr val="FFC000"/>
                </a:solidFill>
                <a:latin typeface="Calibri"/>
                <a:cs typeface="Calibri"/>
              </a:rPr>
              <a:t>19</a:t>
            </a:fld>
            <a:endParaRPr lang="en-US" sz="2400" b="1">
              <a:solidFill>
                <a:srgbClr val="FFC000"/>
              </a:solidFill>
            </a:endParaRPr>
          </a:p>
        </xdr:txBody>
      </xdr:sp>
      <xdr:pic>
        <xdr:nvPicPr>
          <xdr:cNvPr id="6" name="Graphic 5" descr="Monthly calendar">
            <a:extLst>
              <a:ext uri="{FF2B5EF4-FFF2-40B4-BE49-F238E27FC236}">
                <a16:creationId xmlns:a16="http://schemas.microsoft.com/office/drawing/2014/main" id="{A18415CE-6FC9-2CDD-E340-7A03980A394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172450" y="0"/>
            <a:ext cx="914400" cy="9144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18</xdr:col>
      <xdr:colOff>57151</xdr:colOff>
      <xdr:row>26</xdr:row>
      <xdr:rowOff>142875</xdr:rowOff>
    </xdr:to>
    <xdr:sp macro="" textlink="">
      <xdr:nvSpPr>
        <xdr:cNvPr id="2" name="Rectangle 1">
          <a:extLst>
            <a:ext uri="{FF2B5EF4-FFF2-40B4-BE49-F238E27FC236}">
              <a16:creationId xmlns:a16="http://schemas.microsoft.com/office/drawing/2014/main" id="{DB8A9FE4-7933-42FB-B548-CC572D1FD687}"/>
            </a:ext>
          </a:extLst>
        </xdr:cNvPr>
        <xdr:cNvSpPr/>
      </xdr:nvSpPr>
      <xdr:spPr>
        <a:xfrm>
          <a:off x="1" y="0"/>
          <a:ext cx="11029950" cy="509587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476250</xdr:colOff>
      <xdr:row>0</xdr:row>
      <xdr:rowOff>123825</xdr:rowOff>
    </xdr:from>
    <xdr:to>
      <xdr:col>9</xdr:col>
      <xdr:colOff>123825</xdr:colOff>
      <xdr:row>2</xdr:row>
      <xdr:rowOff>85725</xdr:rowOff>
    </xdr:to>
    <xdr:sp macro="" textlink="">
      <xdr:nvSpPr>
        <xdr:cNvPr id="3" name="Rectangle 2">
          <a:extLst>
            <a:ext uri="{FF2B5EF4-FFF2-40B4-BE49-F238E27FC236}">
              <a16:creationId xmlns:a16="http://schemas.microsoft.com/office/drawing/2014/main" id="{8F91F28E-996A-4A03-9DA9-BFD0B18D624C}"/>
            </a:ext>
          </a:extLst>
        </xdr:cNvPr>
        <xdr:cNvSpPr/>
      </xdr:nvSpPr>
      <xdr:spPr>
        <a:xfrm>
          <a:off x="4133850" y="123825"/>
          <a:ext cx="14763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a:solidFill>
              <a:srgbClr val="FFC000"/>
            </a:solidFill>
          </a:endParaRPr>
        </a:p>
      </xdr:txBody>
    </xdr:sp>
    <xdr:clientData/>
  </xdr:twoCellAnchor>
  <xdr:twoCellAnchor>
    <xdr:from>
      <xdr:col>0</xdr:col>
      <xdr:colOff>0</xdr:colOff>
      <xdr:row>0</xdr:row>
      <xdr:rowOff>0</xdr:rowOff>
    </xdr:from>
    <xdr:to>
      <xdr:col>4</xdr:col>
      <xdr:colOff>66674</xdr:colOff>
      <xdr:row>26</xdr:row>
      <xdr:rowOff>85725</xdr:rowOff>
    </xdr:to>
    <xdr:sp macro="" textlink="">
      <xdr:nvSpPr>
        <xdr:cNvPr id="23" name="Rectangle 22">
          <a:extLst>
            <a:ext uri="{FF2B5EF4-FFF2-40B4-BE49-F238E27FC236}">
              <a16:creationId xmlns:a16="http://schemas.microsoft.com/office/drawing/2014/main" id="{00D6E134-B1A0-4DED-9F9B-B340F276ADB1}"/>
            </a:ext>
          </a:extLst>
        </xdr:cNvPr>
        <xdr:cNvSpPr/>
      </xdr:nvSpPr>
      <xdr:spPr>
        <a:xfrm>
          <a:off x="0" y="0"/>
          <a:ext cx="2505074" cy="5038725"/>
        </a:xfrm>
        <a:prstGeom prst="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104774</xdr:colOff>
      <xdr:row>0</xdr:row>
      <xdr:rowOff>95250</xdr:rowOff>
    </xdr:from>
    <xdr:to>
      <xdr:col>4</xdr:col>
      <xdr:colOff>0</xdr:colOff>
      <xdr:row>2</xdr:row>
      <xdr:rowOff>66676</xdr:rowOff>
    </xdr:to>
    <xdr:sp macro="" textlink="">
      <xdr:nvSpPr>
        <xdr:cNvPr id="24" name="TextBox 23">
          <a:extLst>
            <a:ext uri="{FF2B5EF4-FFF2-40B4-BE49-F238E27FC236}">
              <a16:creationId xmlns:a16="http://schemas.microsoft.com/office/drawing/2014/main" id="{1559E409-5A06-4DD6-B2A2-7D30BB0AC4FC}"/>
            </a:ext>
          </a:extLst>
        </xdr:cNvPr>
        <xdr:cNvSpPr txBox="1"/>
      </xdr:nvSpPr>
      <xdr:spPr>
        <a:xfrm>
          <a:off x="104774" y="95250"/>
          <a:ext cx="233362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u="sng">
              <a:solidFill>
                <a:srgbClr val="FFC000"/>
              </a:solidFill>
            </a:rPr>
            <a:t>Supply</a:t>
          </a:r>
          <a:r>
            <a:rPr lang="en-US" sz="1800" b="1" u="sng" baseline="0">
              <a:solidFill>
                <a:srgbClr val="FFC000"/>
              </a:solidFill>
            </a:rPr>
            <a:t> Chain Analysis</a:t>
          </a:r>
          <a:endParaRPr lang="en-US" sz="1800" b="1" u="sng">
            <a:solidFill>
              <a:srgbClr val="FFC000"/>
            </a:solidFill>
          </a:endParaRPr>
        </a:p>
      </xdr:txBody>
    </xdr:sp>
    <xdr:clientData/>
  </xdr:twoCellAnchor>
  <xdr:twoCellAnchor>
    <xdr:from>
      <xdr:col>0</xdr:col>
      <xdr:colOff>61911</xdr:colOff>
      <xdr:row>3</xdr:row>
      <xdr:rowOff>19050</xdr:rowOff>
    </xdr:from>
    <xdr:to>
      <xdr:col>3</xdr:col>
      <xdr:colOff>600075</xdr:colOff>
      <xdr:row>4</xdr:row>
      <xdr:rowOff>161925</xdr:rowOff>
    </xdr:to>
    <xdr:sp macro="" textlink="">
      <xdr:nvSpPr>
        <xdr:cNvPr id="25" name="TextBox 24">
          <a:hlinkClick xmlns:r="http://schemas.openxmlformats.org/officeDocument/2006/relationships" r:id="rId1"/>
          <a:extLst>
            <a:ext uri="{FF2B5EF4-FFF2-40B4-BE49-F238E27FC236}">
              <a16:creationId xmlns:a16="http://schemas.microsoft.com/office/drawing/2014/main" id="{9A0B65C8-757D-44A5-8A1E-9A6150CB5E11}"/>
            </a:ext>
          </a:extLst>
        </xdr:cNvPr>
        <xdr:cNvSpPr txBox="1"/>
      </xdr:nvSpPr>
      <xdr:spPr>
        <a:xfrm>
          <a:off x="61911" y="590550"/>
          <a:ext cx="236696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FFC000"/>
              </a:solidFill>
            </a:rPr>
            <a:t>Sales</a:t>
          </a:r>
          <a:r>
            <a:rPr lang="en-US" sz="1400" b="1" baseline="0">
              <a:solidFill>
                <a:srgbClr val="FFC000"/>
              </a:solidFill>
            </a:rPr>
            <a:t> &amp; Product Performance</a:t>
          </a:r>
          <a:endParaRPr lang="en-US" sz="1400" b="1">
            <a:solidFill>
              <a:srgbClr val="FFC000"/>
            </a:solidFill>
          </a:endParaRPr>
        </a:p>
      </xdr:txBody>
    </xdr:sp>
    <xdr:clientData/>
  </xdr:twoCellAnchor>
  <xdr:twoCellAnchor>
    <xdr:from>
      <xdr:col>0</xdr:col>
      <xdr:colOff>61911</xdr:colOff>
      <xdr:row>5</xdr:row>
      <xdr:rowOff>52387</xdr:rowOff>
    </xdr:from>
    <xdr:to>
      <xdr:col>3</xdr:col>
      <xdr:colOff>542924</xdr:colOff>
      <xdr:row>7</xdr:row>
      <xdr:rowOff>4762</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A6133C59-F588-4DE7-A499-1D9F6871392E}"/>
            </a:ext>
          </a:extLst>
        </xdr:cNvPr>
        <xdr:cNvSpPr txBox="1"/>
      </xdr:nvSpPr>
      <xdr:spPr>
        <a:xfrm>
          <a:off x="61911" y="1004887"/>
          <a:ext cx="2309813"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FFC000"/>
              </a:solidFill>
            </a:rPr>
            <a:t>Manufacturing</a:t>
          </a:r>
          <a:r>
            <a:rPr lang="en-US" sz="1400" b="1" baseline="0">
              <a:solidFill>
                <a:srgbClr val="FFC000"/>
              </a:solidFill>
            </a:rPr>
            <a:t> &amp; Production</a:t>
          </a:r>
          <a:endParaRPr lang="en-US" sz="1400" b="1">
            <a:solidFill>
              <a:srgbClr val="FFC000"/>
            </a:solidFill>
          </a:endParaRPr>
        </a:p>
      </xdr:txBody>
    </xdr:sp>
    <xdr:clientData/>
  </xdr:twoCellAnchor>
  <xdr:twoCellAnchor>
    <xdr:from>
      <xdr:col>0</xdr:col>
      <xdr:colOff>61911</xdr:colOff>
      <xdr:row>7</xdr:row>
      <xdr:rowOff>85725</xdr:rowOff>
    </xdr:from>
    <xdr:to>
      <xdr:col>3</xdr:col>
      <xdr:colOff>504824</xdr:colOff>
      <xdr:row>9</xdr:row>
      <xdr:rowOff>38100</xdr:rowOff>
    </xdr:to>
    <xdr:sp macro="" textlink="">
      <xdr:nvSpPr>
        <xdr:cNvPr id="27" name="TextBox 26">
          <a:hlinkClick xmlns:r="http://schemas.openxmlformats.org/officeDocument/2006/relationships" r:id="rId3"/>
          <a:extLst>
            <a:ext uri="{FF2B5EF4-FFF2-40B4-BE49-F238E27FC236}">
              <a16:creationId xmlns:a16="http://schemas.microsoft.com/office/drawing/2014/main" id="{7C0CED63-D477-494D-B34D-8F462574EE34}"/>
            </a:ext>
          </a:extLst>
        </xdr:cNvPr>
        <xdr:cNvSpPr txBox="1"/>
      </xdr:nvSpPr>
      <xdr:spPr>
        <a:xfrm>
          <a:off x="61911" y="1419225"/>
          <a:ext cx="2271713"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FFC000"/>
              </a:solidFill>
            </a:rPr>
            <a:t>Supplier</a:t>
          </a:r>
          <a:r>
            <a:rPr lang="en-US" sz="1400" b="1" baseline="0">
              <a:solidFill>
                <a:srgbClr val="FFC000"/>
              </a:solidFill>
            </a:rPr>
            <a:t> &amp; Logistics</a:t>
          </a:r>
          <a:endParaRPr lang="en-US" sz="1400" b="1">
            <a:solidFill>
              <a:srgbClr val="FFC000"/>
            </a:solidFill>
          </a:endParaRPr>
        </a:p>
      </xdr:txBody>
    </xdr:sp>
    <xdr:clientData/>
  </xdr:twoCellAnchor>
  <xdr:twoCellAnchor>
    <xdr:from>
      <xdr:col>4</xdr:col>
      <xdr:colOff>123826</xdr:colOff>
      <xdr:row>4</xdr:row>
      <xdr:rowOff>104774</xdr:rowOff>
    </xdr:from>
    <xdr:to>
      <xdr:col>8</xdr:col>
      <xdr:colOff>428625</xdr:colOff>
      <xdr:row>15</xdr:row>
      <xdr:rowOff>76200</xdr:rowOff>
    </xdr:to>
    <xdr:graphicFrame macro="">
      <xdr:nvGraphicFramePr>
        <xdr:cNvPr id="31" name="Chart 30">
          <a:extLst>
            <a:ext uri="{FF2B5EF4-FFF2-40B4-BE49-F238E27FC236}">
              <a16:creationId xmlns:a16="http://schemas.microsoft.com/office/drawing/2014/main" id="{5C190D92-2885-4733-9577-6E7F60F5F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495302</xdr:colOff>
      <xdr:row>4</xdr:row>
      <xdr:rowOff>133350</xdr:rowOff>
    </xdr:from>
    <xdr:to>
      <xdr:col>13</xdr:col>
      <xdr:colOff>161925</xdr:colOff>
      <xdr:row>15</xdr:row>
      <xdr:rowOff>66675</xdr:rowOff>
    </xdr:to>
    <xdr:graphicFrame macro="">
      <xdr:nvGraphicFramePr>
        <xdr:cNvPr id="32" name="Chart 31">
          <a:extLst>
            <a:ext uri="{FF2B5EF4-FFF2-40B4-BE49-F238E27FC236}">
              <a16:creationId xmlns:a16="http://schemas.microsoft.com/office/drawing/2014/main" id="{91389517-3B15-40D3-AEDA-BEE8F6F53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514351</xdr:colOff>
      <xdr:row>15</xdr:row>
      <xdr:rowOff>114300</xdr:rowOff>
    </xdr:from>
    <xdr:to>
      <xdr:col>13</xdr:col>
      <xdr:colOff>209550</xdr:colOff>
      <xdr:row>26</xdr:row>
      <xdr:rowOff>85725</xdr:rowOff>
    </xdr:to>
    <xdr:graphicFrame macro="">
      <xdr:nvGraphicFramePr>
        <xdr:cNvPr id="34" name="Chart 33">
          <a:extLst>
            <a:ext uri="{FF2B5EF4-FFF2-40B4-BE49-F238E27FC236}">
              <a16:creationId xmlns:a16="http://schemas.microsoft.com/office/drawing/2014/main" id="{A3344E9D-D8BC-4B58-99BB-CE9C317F8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238126</xdr:colOff>
      <xdr:row>4</xdr:row>
      <xdr:rowOff>123825</xdr:rowOff>
    </xdr:from>
    <xdr:to>
      <xdr:col>17</xdr:col>
      <xdr:colOff>590550</xdr:colOff>
      <xdr:row>15</xdr:row>
      <xdr:rowOff>66674</xdr:rowOff>
    </xdr:to>
    <xdr:graphicFrame macro="">
      <xdr:nvGraphicFramePr>
        <xdr:cNvPr id="35" name="Chart 34">
          <a:extLst>
            <a:ext uri="{FF2B5EF4-FFF2-40B4-BE49-F238E27FC236}">
              <a16:creationId xmlns:a16="http://schemas.microsoft.com/office/drawing/2014/main" id="{8C95E789-E563-4616-9591-D9548E419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266700</xdr:colOff>
      <xdr:row>15</xdr:row>
      <xdr:rowOff>114301</xdr:rowOff>
    </xdr:from>
    <xdr:to>
      <xdr:col>18</xdr:col>
      <xdr:colOff>0</xdr:colOff>
      <xdr:row>26</xdr:row>
      <xdr:rowOff>104775</xdr:rowOff>
    </xdr:to>
    <xdr:graphicFrame macro="">
      <xdr:nvGraphicFramePr>
        <xdr:cNvPr id="36" name="Chart 35">
          <a:extLst>
            <a:ext uri="{FF2B5EF4-FFF2-40B4-BE49-F238E27FC236}">
              <a16:creationId xmlns:a16="http://schemas.microsoft.com/office/drawing/2014/main" id="{84BA3F0D-A274-4FBB-AA1B-B47820673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590550</xdr:colOff>
      <xdr:row>0</xdr:row>
      <xdr:rowOff>61912</xdr:rowOff>
    </xdr:from>
    <xdr:to>
      <xdr:col>8</xdr:col>
      <xdr:colOff>390525</xdr:colOff>
      <xdr:row>3</xdr:row>
      <xdr:rowOff>4762</xdr:rowOff>
    </xdr:to>
    <xdr:sp macro="" textlink="PIVOT_TABLE!H3">
      <xdr:nvSpPr>
        <xdr:cNvPr id="40" name="Rectangle: Rounded Corners 39">
          <a:extLst>
            <a:ext uri="{FF2B5EF4-FFF2-40B4-BE49-F238E27FC236}">
              <a16:creationId xmlns:a16="http://schemas.microsoft.com/office/drawing/2014/main" id="{9AB8A585-71BF-1E46-9551-8F921711EBED}"/>
            </a:ext>
          </a:extLst>
        </xdr:cNvPr>
        <xdr:cNvSpPr/>
      </xdr:nvSpPr>
      <xdr:spPr>
        <a:xfrm>
          <a:off x="3638550" y="61912"/>
          <a:ext cx="1628775" cy="5143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F4DACCCF-1A88-4791-87FA-84DCE26D2D3D}" type="TxLink">
            <a:rPr lang="en-US" sz="1100" b="0" i="0" u="none" strike="noStrike">
              <a:solidFill>
                <a:srgbClr val="000000"/>
              </a:solidFill>
              <a:latin typeface="Calibri"/>
              <a:cs typeface="Calibri"/>
            </a:rPr>
            <a:pPr algn="r"/>
            <a:t>17</a:t>
          </a:fld>
          <a:endParaRPr lang="en-US" sz="2800" b="1">
            <a:solidFill>
              <a:srgbClr val="FFC000"/>
            </a:solidFill>
          </a:endParaRPr>
        </a:p>
      </xdr:txBody>
    </xdr:sp>
    <xdr:clientData/>
  </xdr:twoCellAnchor>
  <xdr:twoCellAnchor>
    <xdr:from>
      <xdr:col>13</xdr:col>
      <xdr:colOff>247650</xdr:colOff>
      <xdr:row>0</xdr:row>
      <xdr:rowOff>47625</xdr:rowOff>
    </xdr:from>
    <xdr:to>
      <xdr:col>18</xdr:col>
      <xdr:colOff>238125</xdr:colOff>
      <xdr:row>4</xdr:row>
      <xdr:rowOff>138111</xdr:rowOff>
    </xdr:to>
    <xdr:grpSp>
      <xdr:nvGrpSpPr>
        <xdr:cNvPr id="42" name="Group 41">
          <a:extLst>
            <a:ext uri="{FF2B5EF4-FFF2-40B4-BE49-F238E27FC236}">
              <a16:creationId xmlns:a16="http://schemas.microsoft.com/office/drawing/2014/main" id="{1C0AB2F4-EDD7-4845-B4FD-57BE888359E6}"/>
            </a:ext>
          </a:extLst>
        </xdr:cNvPr>
        <xdr:cNvGrpSpPr/>
      </xdr:nvGrpSpPr>
      <xdr:grpSpPr>
        <a:xfrm>
          <a:off x="8207829" y="47625"/>
          <a:ext cx="3052082" cy="838879"/>
          <a:chOff x="2524125" y="42863"/>
          <a:chExt cx="3038475" cy="852486"/>
        </a:xfrm>
      </xdr:grpSpPr>
      <xdr:sp macro="" textlink="">
        <xdr:nvSpPr>
          <xdr:cNvPr id="43" name="Rectangle: Rounded Corners 42">
            <a:extLst>
              <a:ext uri="{FF2B5EF4-FFF2-40B4-BE49-F238E27FC236}">
                <a16:creationId xmlns:a16="http://schemas.microsoft.com/office/drawing/2014/main" id="{F75D4A01-A8D5-B2B5-8F1E-77F000175A8A}"/>
              </a:ext>
            </a:extLst>
          </xdr:cNvPr>
          <xdr:cNvSpPr/>
        </xdr:nvSpPr>
        <xdr:spPr>
          <a:xfrm>
            <a:off x="2524125" y="42863"/>
            <a:ext cx="2762250" cy="790575"/>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Rounded Corners 43">
            <a:extLst>
              <a:ext uri="{FF2B5EF4-FFF2-40B4-BE49-F238E27FC236}">
                <a16:creationId xmlns:a16="http://schemas.microsoft.com/office/drawing/2014/main" id="{56056B74-36CF-D4F5-4652-D0DB08689A41}"/>
              </a:ext>
            </a:extLst>
          </xdr:cNvPr>
          <xdr:cNvSpPr/>
        </xdr:nvSpPr>
        <xdr:spPr>
          <a:xfrm>
            <a:off x="4067176" y="533400"/>
            <a:ext cx="1495424" cy="3619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C000"/>
                </a:solidFill>
              </a:rPr>
              <a:t>Avg</a:t>
            </a:r>
            <a:r>
              <a:rPr lang="en-US" sz="1200" b="1" baseline="0">
                <a:solidFill>
                  <a:srgbClr val="FFC000"/>
                </a:solidFill>
              </a:rPr>
              <a:t> Selling Price</a:t>
            </a:r>
            <a:endParaRPr lang="en-US" sz="1200" b="1">
              <a:solidFill>
                <a:srgbClr val="FFC000"/>
              </a:solidFill>
            </a:endParaRPr>
          </a:p>
        </xdr:txBody>
      </xdr:sp>
      <xdr:sp macro="" textlink="PIVOT_TABLE!H17">
        <xdr:nvSpPr>
          <xdr:cNvPr id="45" name="Rectangle: Rounded Corners 44">
            <a:extLst>
              <a:ext uri="{FF2B5EF4-FFF2-40B4-BE49-F238E27FC236}">
                <a16:creationId xmlns:a16="http://schemas.microsoft.com/office/drawing/2014/main" id="{D1022AC1-C9D9-705C-D761-D451AA025448}"/>
              </a:ext>
            </a:extLst>
          </xdr:cNvPr>
          <xdr:cNvSpPr/>
        </xdr:nvSpPr>
        <xdr:spPr>
          <a:xfrm>
            <a:off x="3638550" y="57150"/>
            <a:ext cx="1628775" cy="5143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55DFCE98-F96D-445A-B155-BC7849B65510}" type="TxLink">
              <a:rPr lang="en-US" sz="1100" b="0" i="0" u="none" strike="noStrike">
                <a:solidFill>
                  <a:srgbClr val="000000"/>
                </a:solidFill>
                <a:latin typeface="Calibri"/>
                <a:cs typeface="Calibri"/>
              </a:rPr>
              <a:pPr algn="r"/>
              <a:t>46</a:t>
            </a:fld>
            <a:endParaRPr lang="en-US" sz="2800" b="1">
              <a:solidFill>
                <a:srgbClr val="FFC000"/>
              </a:solidFill>
            </a:endParaRPr>
          </a:p>
        </xdr:txBody>
      </xdr:sp>
      <xdr:pic>
        <xdr:nvPicPr>
          <xdr:cNvPr id="46" name="Graphic 45" descr="Money">
            <a:extLst>
              <a:ext uri="{FF2B5EF4-FFF2-40B4-BE49-F238E27FC236}">
                <a16:creationId xmlns:a16="http://schemas.microsoft.com/office/drawing/2014/main" id="{AC0CC15B-ED40-71E7-C38F-B096F8D0F2E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667000" y="85724"/>
            <a:ext cx="914400" cy="771525"/>
          </a:xfrm>
          <a:prstGeom prst="rect">
            <a:avLst/>
          </a:prstGeom>
        </xdr:spPr>
      </xdr:pic>
    </xdr:grpSp>
    <xdr:clientData/>
  </xdr:twoCellAnchor>
  <xdr:twoCellAnchor>
    <xdr:from>
      <xdr:col>4</xdr:col>
      <xdr:colOff>123825</xdr:colOff>
      <xdr:row>0</xdr:row>
      <xdr:rowOff>38100</xdr:rowOff>
    </xdr:from>
    <xdr:to>
      <xdr:col>8</xdr:col>
      <xdr:colOff>581025</xdr:colOff>
      <xdr:row>4</xdr:row>
      <xdr:rowOff>119061</xdr:rowOff>
    </xdr:to>
    <xdr:grpSp>
      <xdr:nvGrpSpPr>
        <xdr:cNvPr id="55" name="Group 54">
          <a:extLst>
            <a:ext uri="{FF2B5EF4-FFF2-40B4-BE49-F238E27FC236}">
              <a16:creationId xmlns:a16="http://schemas.microsoft.com/office/drawing/2014/main" id="{95913C09-8868-17D8-CA37-D9E7D3D67DF2}"/>
            </a:ext>
          </a:extLst>
        </xdr:cNvPr>
        <xdr:cNvGrpSpPr/>
      </xdr:nvGrpSpPr>
      <xdr:grpSpPr>
        <a:xfrm>
          <a:off x="2573111" y="38100"/>
          <a:ext cx="2906485" cy="829354"/>
          <a:chOff x="2562225" y="38100"/>
          <a:chExt cx="2895600" cy="842961"/>
        </a:xfrm>
      </xdr:grpSpPr>
      <xdr:sp macro="" textlink="">
        <xdr:nvSpPr>
          <xdr:cNvPr id="38" name="Rectangle: Rounded Corners 37">
            <a:extLst>
              <a:ext uri="{FF2B5EF4-FFF2-40B4-BE49-F238E27FC236}">
                <a16:creationId xmlns:a16="http://schemas.microsoft.com/office/drawing/2014/main" id="{8DE7A0F0-E106-6E46-B192-8CD82863AD7A}"/>
              </a:ext>
            </a:extLst>
          </xdr:cNvPr>
          <xdr:cNvSpPr/>
        </xdr:nvSpPr>
        <xdr:spPr>
          <a:xfrm>
            <a:off x="2562225" y="38100"/>
            <a:ext cx="2762250" cy="790575"/>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Rounded Corners 38">
            <a:extLst>
              <a:ext uri="{FF2B5EF4-FFF2-40B4-BE49-F238E27FC236}">
                <a16:creationId xmlns:a16="http://schemas.microsoft.com/office/drawing/2014/main" id="{69EE690D-0AE0-68B6-6076-A75F0C57AA56}"/>
              </a:ext>
            </a:extLst>
          </xdr:cNvPr>
          <xdr:cNvSpPr/>
        </xdr:nvSpPr>
        <xdr:spPr>
          <a:xfrm>
            <a:off x="3276601" y="519112"/>
            <a:ext cx="2171700" cy="3619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C000"/>
                </a:solidFill>
              </a:rPr>
              <a:t>Average Manufacturing Time</a:t>
            </a:r>
          </a:p>
        </xdr:txBody>
      </xdr:sp>
      <xdr:sp macro="" textlink="PIVOT_TABLE!H3">
        <xdr:nvSpPr>
          <xdr:cNvPr id="52" name="Rectangle 51">
            <a:extLst>
              <a:ext uri="{FF2B5EF4-FFF2-40B4-BE49-F238E27FC236}">
                <a16:creationId xmlns:a16="http://schemas.microsoft.com/office/drawing/2014/main" id="{66FD3C9A-1544-BDC6-F68D-17D21AD25AFF}"/>
              </a:ext>
            </a:extLst>
          </xdr:cNvPr>
          <xdr:cNvSpPr/>
        </xdr:nvSpPr>
        <xdr:spPr>
          <a:xfrm>
            <a:off x="4772025" y="142874"/>
            <a:ext cx="685800" cy="409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EF051C8-289E-4C79-9ED7-6A40B2AC3B0C}" type="TxLink">
              <a:rPr lang="en-US" sz="2400" b="1" i="0" u="none" strike="noStrike">
                <a:solidFill>
                  <a:srgbClr val="FFC000"/>
                </a:solidFill>
                <a:latin typeface="Calibri"/>
                <a:cs typeface="Calibri"/>
              </a:rPr>
              <a:pPr algn="l"/>
              <a:t>17</a:t>
            </a:fld>
            <a:endParaRPr lang="en-US" sz="2400" b="1">
              <a:solidFill>
                <a:srgbClr val="FFC000"/>
              </a:solidFill>
            </a:endParaRPr>
          </a:p>
        </xdr:txBody>
      </xdr:sp>
      <xdr:pic>
        <xdr:nvPicPr>
          <xdr:cNvPr id="54" name="Graphic 53" descr="Factory">
            <a:extLst>
              <a:ext uri="{FF2B5EF4-FFF2-40B4-BE49-F238E27FC236}">
                <a16:creationId xmlns:a16="http://schemas.microsoft.com/office/drawing/2014/main" id="{60A17DE6-C9CD-1115-A2DA-25CB1FE76E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686050" y="161925"/>
            <a:ext cx="647700" cy="647700"/>
          </a:xfrm>
          <a:prstGeom prst="rect">
            <a:avLst/>
          </a:prstGeom>
        </xdr:spPr>
      </xdr:pic>
    </xdr:grpSp>
    <xdr:clientData/>
  </xdr:twoCellAnchor>
  <xdr:twoCellAnchor>
    <xdr:from>
      <xdr:col>8</xdr:col>
      <xdr:colOff>495300</xdr:colOff>
      <xdr:row>0</xdr:row>
      <xdr:rowOff>47625</xdr:rowOff>
    </xdr:from>
    <xdr:to>
      <xdr:col>14</xdr:col>
      <xdr:colOff>9525</xdr:colOff>
      <xdr:row>4</xdr:row>
      <xdr:rowOff>157161</xdr:rowOff>
    </xdr:to>
    <xdr:grpSp>
      <xdr:nvGrpSpPr>
        <xdr:cNvPr id="58" name="Group 57">
          <a:extLst>
            <a:ext uri="{FF2B5EF4-FFF2-40B4-BE49-F238E27FC236}">
              <a16:creationId xmlns:a16="http://schemas.microsoft.com/office/drawing/2014/main" id="{4BD9E1B0-79EE-493C-893B-6B559164A98F}"/>
            </a:ext>
          </a:extLst>
        </xdr:cNvPr>
        <xdr:cNvGrpSpPr/>
      </xdr:nvGrpSpPr>
      <xdr:grpSpPr>
        <a:xfrm>
          <a:off x="5393871" y="47625"/>
          <a:ext cx="3188154" cy="857929"/>
          <a:chOff x="5372100" y="47625"/>
          <a:chExt cx="3171825" cy="871536"/>
        </a:xfrm>
      </xdr:grpSpPr>
      <xdr:sp macro="" textlink="">
        <xdr:nvSpPr>
          <xdr:cNvPr id="48" name="Rectangle: Rounded Corners 47">
            <a:extLst>
              <a:ext uri="{FF2B5EF4-FFF2-40B4-BE49-F238E27FC236}">
                <a16:creationId xmlns:a16="http://schemas.microsoft.com/office/drawing/2014/main" id="{29A9C1D9-1FB0-E0DB-AB12-2021C52BD38C}"/>
              </a:ext>
            </a:extLst>
          </xdr:cNvPr>
          <xdr:cNvSpPr/>
        </xdr:nvSpPr>
        <xdr:spPr>
          <a:xfrm>
            <a:off x="5372100" y="47625"/>
            <a:ext cx="2762250" cy="790575"/>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Rectangle: Rounded Corners 48">
            <a:extLst>
              <a:ext uri="{FF2B5EF4-FFF2-40B4-BE49-F238E27FC236}">
                <a16:creationId xmlns:a16="http://schemas.microsoft.com/office/drawing/2014/main" id="{DD4CF51A-4C7F-B127-0FF5-5600F195FB2E}"/>
              </a:ext>
            </a:extLst>
          </xdr:cNvPr>
          <xdr:cNvSpPr/>
        </xdr:nvSpPr>
        <xdr:spPr>
          <a:xfrm>
            <a:off x="6619875" y="557212"/>
            <a:ext cx="1924050" cy="3619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C000"/>
                </a:solidFill>
              </a:rPr>
              <a:t>Total Units</a:t>
            </a:r>
            <a:r>
              <a:rPr lang="en-US" sz="1200" b="1" baseline="0">
                <a:solidFill>
                  <a:srgbClr val="FFC000"/>
                </a:solidFill>
              </a:rPr>
              <a:t> Produced</a:t>
            </a:r>
            <a:endParaRPr lang="en-US" sz="1200" b="1">
              <a:solidFill>
                <a:srgbClr val="FFC000"/>
              </a:solidFill>
            </a:endParaRPr>
          </a:p>
        </xdr:txBody>
      </xdr:sp>
      <xdr:sp macro="" textlink="PIVOT_TABLE!H6">
        <xdr:nvSpPr>
          <xdr:cNvPr id="50" name="Rectangle: Rounded Corners 49">
            <a:extLst>
              <a:ext uri="{FF2B5EF4-FFF2-40B4-BE49-F238E27FC236}">
                <a16:creationId xmlns:a16="http://schemas.microsoft.com/office/drawing/2014/main" id="{34F43EB4-B8E7-A098-61EC-26B0945A52C6}"/>
              </a:ext>
            </a:extLst>
          </xdr:cNvPr>
          <xdr:cNvSpPr/>
        </xdr:nvSpPr>
        <xdr:spPr>
          <a:xfrm>
            <a:off x="6448425" y="71437"/>
            <a:ext cx="1628775" cy="5143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3858F3BD-C75A-4189-BDCC-9188001C7050}" type="TxLink">
              <a:rPr lang="en-US" sz="2400" b="1" i="0" u="none" strike="noStrike">
                <a:solidFill>
                  <a:srgbClr val="FFC000"/>
                </a:solidFill>
                <a:latin typeface="Calibri"/>
                <a:cs typeface="Calibri"/>
              </a:rPr>
              <a:pPr algn="r"/>
              <a:t>19957</a:t>
            </a:fld>
            <a:endParaRPr lang="en-US" sz="2400" b="1">
              <a:solidFill>
                <a:srgbClr val="FFC000"/>
              </a:solidFill>
            </a:endParaRPr>
          </a:p>
        </xdr:txBody>
      </xdr:sp>
      <xdr:pic>
        <xdr:nvPicPr>
          <xdr:cNvPr id="57" name="Graphic 56" descr="Flowchart">
            <a:extLst>
              <a:ext uri="{FF2B5EF4-FFF2-40B4-BE49-F238E27FC236}">
                <a16:creationId xmlns:a16="http://schemas.microsoft.com/office/drawing/2014/main" id="{1F7F9F9B-0E5E-B60A-C898-9B2F0B063F5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467350" y="114300"/>
            <a:ext cx="762000" cy="704850"/>
          </a:xfrm>
          <a:prstGeom prst="rect">
            <a:avLst/>
          </a:prstGeom>
        </xdr:spPr>
      </xdr:pic>
    </xdr:grpSp>
    <xdr:clientData/>
  </xdr:twoCellAnchor>
  <xdr:twoCellAnchor>
    <xdr:from>
      <xdr:col>16</xdr:col>
      <xdr:colOff>600074</xdr:colOff>
      <xdr:row>0</xdr:row>
      <xdr:rowOff>142875</xdr:rowOff>
    </xdr:from>
    <xdr:to>
      <xdr:col>17</xdr:col>
      <xdr:colOff>514349</xdr:colOff>
      <xdr:row>2</xdr:row>
      <xdr:rowOff>142875</xdr:rowOff>
    </xdr:to>
    <xdr:sp macro="" textlink="PIVOT_TABLE!H17">
      <xdr:nvSpPr>
        <xdr:cNvPr id="4" name="Rectangle 3">
          <a:extLst>
            <a:ext uri="{FF2B5EF4-FFF2-40B4-BE49-F238E27FC236}">
              <a16:creationId xmlns:a16="http://schemas.microsoft.com/office/drawing/2014/main" id="{8361B532-C850-4896-9738-6091E49C2171}"/>
            </a:ext>
          </a:extLst>
        </xdr:cNvPr>
        <xdr:cNvSpPr/>
      </xdr:nvSpPr>
      <xdr:spPr>
        <a:xfrm>
          <a:off x="10353674" y="142875"/>
          <a:ext cx="523875" cy="38100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46F3B3-315F-4E46-B46F-F83A80429383}" type="TxLink">
            <a:rPr lang="en-US" sz="2400" b="1" i="0" u="none" strike="noStrike">
              <a:solidFill>
                <a:srgbClr val="FFC000"/>
              </a:solidFill>
              <a:latin typeface="Calibri"/>
              <a:cs typeface="Calibri"/>
            </a:rPr>
            <a:pPr algn="l"/>
            <a:t>46</a:t>
          </a:fld>
          <a:endParaRPr lang="en-US" sz="2400" b="1">
            <a:solidFill>
              <a:srgbClr val="FFC000"/>
            </a:solidFill>
          </a:endParaRPr>
        </a:p>
      </xdr:txBody>
    </xdr:sp>
    <xdr:clientData/>
  </xdr:twoCellAnchor>
  <xdr:twoCellAnchor editAs="oneCell">
    <xdr:from>
      <xdr:col>0</xdr:col>
      <xdr:colOff>85725</xdr:colOff>
      <xdr:row>9</xdr:row>
      <xdr:rowOff>133350</xdr:rowOff>
    </xdr:from>
    <xdr:to>
      <xdr:col>3</xdr:col>
      <xdr:colOff>342901</xdr:colOff>
      <xdr:row>16</xdr:row>
      <xdr:rowOff>19050</xdr:rowOff>
    </xdr:to>
    <mc:AlternateContent xmlns:mc="http://schemas.openxmlformats.org/markup-compatibility/2006" xmlns:a14="http://schemas.microsoft.com/office/drawing/2010/main">
      <mc:Choice Requires="a14">
        <xdr:graphicFrame macro="">
          <xdr:nvGraphicFramePr>
            <xdr:cNvPr id="6" name="Category 2">
              <a:extLst>
                <a:ext uri="{FF2B5EF4-FFF2-40B4-BE49-F238E27FC236}">
                  <a16:creationId xmlns:a16="http://schemas.microsoft.com/office/drawing/2014/main" id="{00866D44-44F3-4B7E-83AF-2769DFCEA18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5725" y="1847850"/>
              <a:ext cx="2085976"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123825</xdr:colOff>
      <xdr:row>15</xdr:row>
      <xdr:rowOff>104775</xdr:rowOff>
    </xdr:from>
    <xdr:to>
      <xdr:col>8</xdr:col>
      <xdr:colOff>438151</xdr:colOff>
      <xdr:row>26</xdr:row>
      <xdr:rowOff>104775</xdr:rowOff>
    </xdr:to>
    <xdr:graphicFrame macro="">
      <xdr:nvGraphicFramePr>
        <xdr:cNvPr id="5" name="Chart 4">
          <a:extLst>
            <a:ext uri="{FF2B5EF4-FFF2-40B4-BE49-F238E27FC236}">
              <a16:creationId xmlns:a16="http://schemas.microsoft.com/office/drawing/2014/main" id="{BE12999B-4281-48E7-87A3-8F44E0C72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295275</xdr:colOff>
      <xdr:row>26</xdr:row>
      <xdr:rowOff>142875</xdr:rowOff>
    </xdr:to>
    <xdr:sp macro="" textlink="">
      <xdr:nvSpPr>
        <xdr:cNvPr id="2" name="Rectangle 1">
          <a:extLst>
            <a:ext uri="{FF2B5EF4-FFF2-40B4-BE49-F238E27FC236}">
              <a16:creationId xmlns:a16="http://schemas.microsoft.com/office/drawing/2014/main" id="{0E512EFA-D323-4072-8B69-1F0C9109833B}"/>
            </a:ext>
          </a:extLst>
        </xdr:cNvPr>
        <xdr:cNvSpPr/>
      </xdr:nvSpPr>
      <xdr:spPr>
        <a:xfrm>
          <a:off x="0" y="0"/>
          <a:ext cx="11268075" cy="509587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476250</xdr:colOff>
      <xdr:row>0</xdr:row>
      <xdr:rowOff>123825</xdr:rowOff>
    </xdr:from>
    <xdr:to>
      <xdr:col>9</xdr:col>
      <xdr:colOff>123825</xdr:colOff>
      <xdr:row>2</xdr:row>
      <xdr:rowOff>85725</xdr:rowOff>
    </xdr:to>
    <xdr:sp macro="" textlink="">
      <xdr:nvSpPr>
        <xdr:cNvPr id="7" name="Rectangle 6">
          <a:extLst>
            <a:ext uri="{FF2B5EF4-FFF2-40B4-BE49-F238E27FC236}">
              <a16:creationId xmlns:a16="http://schemas.microsoft.com/office/drawing/2014/main" id="{6FDA9ACE-1632-4EAF-9C75-7A622C1C36DD}"/>
            </a:ext>
          </a:extLst>
        </xdr:cNvPr>
        <xdr:cNvSpPr/>
      </xdr:nvSpPr>
      <xdr:spPr>
        <a:xfrm>
          <a:off x="4133850" y="123825"/>
          <a:ext cx="1476375"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a:solidFill>
              <a:srgbClr val="FFC000"/>
            </a:solidFill>
          </a:endParaRPr>
        </a:p>
      </xdr:txBody>
    </xdr:sp>
    <xdr:clientData/>
  </xdr:twoCellAnchor>
  <xdr:twoCellAnchor>
    <xdr:from>
      <xdr:col>4</xdr:col>
      <xdr:colOff>104777</xdr:colOff>
      <xdr:row>4</xdr:row>
      <xdr:rowOff>114300</xdr:rowOff>
    </xdr:from>
    <xdr:to>
      <xdr:col>8</xdr:col>
      <xdr:colOff>457200</xdr:colOff>
      <xdr:row>14</xdr:row>
      <xdr:rowOff>161925</xdr:rowOff>
    </xdr:to>
    <xdr:graphicFrame macro="">
      <xdr:nvGraphicFramePr>
        <xdr:cNvPr id="23" name="Chart 22">
          <a:extLst>
            <a:ext uri="{FF2B5EF4-FFF2-40B4-BE49-F238E27FC236}">
              <a16:creationId xmlns:a16="http://schemas.microsoft.com/office/drawing/2014/main" id="{6F8DC0EE-BB6C-41BB-A6A5-2B64E1240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476251</xdr:colOff>
      <xdr:row>4</xdr:row>
      <xdr:rowOff>85725</xdr:rowOff>
    </xdr:from>
    <xdr:to>
      <xdr:col>18</xdr:col>
      <xdr:colOff>219075</xdr:colOff>
      <xdr:row>14</xdr:row>
      <xdr:rowOff>161925</xdr:rowOff>
    </xdr:to>
    <xdr:graphicFrame macro="">
      <xdr:nvGraphicFramePr>
        <xdr:cNvPr id="24" name="Chart 23">
          <a:extLst>
            <a:ext uri="{FF2B5EF4-FFF2-40B4-BE49-F238E27FC236}">
              <a16:creationId xmlns:a16="http://schemas.microsoft.com/office/drawing/2014/main" id="{BBB3D77B-1F88-449A-BB4D-14B7FC3BC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504824</xdr:colOff>
      <xdr:row>4</xdr:row>
      <xdr:rowOff>104775</xdr:rowOff>
    </xdr:from>
    <xdr:to>
      <xdr:col>13</xdr:col>
      <xdr:colOff>409575</xdr:colOff>
      <xdr:row>14</xdr:row>
      <xdr:rowOff>161925</xdr:rowOff>
    </xdr:to>
    <xdr:graphicFrame macro="">
      <xdr:nvGraphicFramePr>
        <xdr:cNvPr id="25" name="Chart 24">
          <a:extLst>
            <a:ext uri="{FF2B5EF4-FFF2-40B4-BE49-F238E27FC236}">
              <a16:creationId xmlns:a16="http://schemas.microsoft.com/office/drawing/2014/main" id="{0761CAB0-ED99-48C9-A962-817C9A8F3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114301</xdr:colOff>
      <xdr:row>15</xdr:row>
      <xdr:rowOff>28574</xdr:rowOff>
    </xdr:from>
    <xdr:to>
      <xdr:col>8</xdr:col>
      <xdr:colOff>457200</xdr:colOff>
      <xdr:row>26</xdr:row>
      <xdr:rowOff>95250</xdr:rowOff>
    </xdr:to>
    <xdr:graphicFrame macro="">
      <xdr:nvGraphicFramePr>
        <xdr:cNvPr id="28" name="Chart 27">
          <a:extLst>
            <a:ext uri="{FF2B5EF4-FFF2-40B4-BE49-F238E27FC236}">
              <a16:creationId xmlns:a16="http://schemas.microsoft.com/office/drawing/2014/main" id="{1F658ED4-538F-4535-BB28-1D8AD1BD8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4</xdr:col>
      <xdr:colOff>66674</xdr:colOff>
      <xdr:row>26</xdr:row>
      <xdr:rowOff>85725</xdr:rowOff>
    </xdr:to>
    <xdr:sp macro="" textlink="">
      <xdr:nvSpPr>
        <xdr:cNvPr id="42" name="Rectangle 41">
          <a:extLst>
            <a:ext uri="{FF2B5EF4-FFF2-40B4-BE49-F238E27FC236}">
              <a16:creationId xmlns:a16="http://schemas.microsoft.com/office/drawing/2014/main" id="{48E00DC9-D7CE-AF84-C972-8C9ED629AE09}"/>
            </a:ext>
          </a:extLst>
        </xdr:cNvPr>
        <xdr:cNvSpPr/>
      </xdr:nvSpPr>
      <xdr:spPr>
        <a:xfrm>
          <a:off x="0" y="0"/>
          <a:ext cx="2505074" cy="5038725"/>
        </a:xfrm>
        <a:prstGeom prst="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95249</xdr:colOff>
      <xdr:row>0</xdr:row>
      <xdr:rowOff>123825</xdr:rowOff>
    </xdr:from>
    <xdr:to>
      <xdr:col>3</xdr:col>
      <xdr:colOff>600075</xdr:colOff>
      <xdr:row>2</xdr:row>
      <xdr:rowOff>95251</xdr:rowOff>
    </xdr:to>
    <xdr:sp macro="" textlink="">
      <xdr:nvSpPr>
        <xdr:cNvPr id="43" name="TextBox 42">
          <a:extLst>
            <a:ext uri="{FF2B5EF4-FFF2-40B4-BE49-F238E27FC236}">
              <a16:creationId xmlns:a16="http://schemas.microsoft.com/office/drawing/2014/main" id="{F4CEF169-82B1-7B6A-BEFA-1901B0CE8E55}"/>
            </a:ext>
          </a:extLst>
        </xdr:cNvPr>
        <xdr:cNvSpPr txBox="1"/>
      </xdr:nvSpPr>
      <xdr:spPr>
        <a:xfrm>
          <a:off x="95249" y="123825"/>
          <a:ext cx="233362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u="sng">
              <a:solidFill>
                <a:srgbClr val="FFC000"/>
              </a:solidFill>
            </a:rPr>
            <a:t>Supply</a:t>
          </a:r>
          <a:r>
            <a:rPr lang="en-US" sz="1800" b="1" u="sng" baseline="0">
              <a:solidFill>
                <a:srgbClr val="FFC000"/>
              </a:solidFill>
            </a:rPr>
            <a:t> Chain Analysis</a:t>
          </a:r>
          <a:endParaRPr lang="en-US" sz="1800" b="1" u="sng">
            <a:solidFill>
              <a:srgbClr val="FFC000"/>
            </a:solidFill>
          </a:endParaRPr>
        </a:p>
      </xdr:txBody>
    </xdr:sp>
    <xdr:clientData/>
  </xdr:twoCellAnchor>
  <xdr:twoCellAnchor>
    <xdr:from>
      <xdr:col>0</xdr:col>
      <xdr:colOff>90486</xdr:colOff>
      <xdr:row>3</xdr:row>
      <xdr:rowOff>9525</xdr:rowOff>
    </xdr:from>
    <xdr:to>
      <xdr:col>4</xdr:col>
      <xdr:colOff>19050</xdr:colOff>
      <xdr:row>4</xdr:row>
      <xdr:rowOff>152400</xdr:rowOff>
    </xdr:to>
    <xdr:sp macro="" textlink="">
      <xdr:nvSpPr>
        <xdr:cNvPr id="46" name="TextBox 45">
          <a:extLst>
            <a:ext uri="{FF2B5EF4-FFF2-40B4-BE49-F238E27FC236}">
              <a16:creationId xmlns:a16="http://schemas.microsoft.com/office/drawing/2014/main" id="{B2509466-E193-4556-831C-43697F43C7BC}"/>
            </a:ext>
          </a:extLst>
        </xdr:cNvPr>
        <xdr:cNvSpPr txBox="1"/>
      </xdr:nvSpPr>
      <xdr:spPr>
        <a:xfrm>
          <a:off x="90486" y="581025"/>
          <a:ext cx="2366964"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FFC000"/>
              </a:solidFill>
            </a:rPr>
            <a:t>Sales</a:t>
          </a:r>
          <a:r>
            <a:rPr lang="en-US" sz="1400" b="1" baseline="0">
              <a:solidFill>
                <a:srgbClr val="FFC000"/>
              </a:solidFill>
            </a:rPr>
            <a:t> &amp; Product Performance</a:t>
          </a:r>
          <a:endParaRPr lang="en-US" sz="1400" b="1">
            <a:solidFill>
              <a:srgbClr val="FFC000"/>
            </a:solidFill>
          </a:endParaRPr>
        </a:p>
      </xdr:txBody>
    </xdr:sp>
    <xdr:clientData/>
  </xdr:twoCellAnchor>
  <xdr:twoCellAnchor>
    <xdr:from>
      <xdr:col>0</xdr:col>
      <xdr:colOff>90486</xdr:colOff>
      <xdr:row>5</xdr:row>
      <xdr:rowOff>42862</xdr:rowOff>
    </xdr:from>
    <xdr:to>
      <xdr:col>3</xdr:col>
      <xdr:colOff>571499</xdr:colOff>
      <xdr:row>6</xdr:row>
      <xdr:rowOff>185737</xdr:rowOff>
    </xdr:to>
    <xdr:sp macro="" textlink="">
      <xdr:nvSpPr>
        <xdr:cNvPr id="47" name="TextBox 46">
          <a:hlinkClick xmlns:r="http://schemas.openxmlformats.org/officeDocument/2006/relationships" r:id="rId5"/>
          <a:extLst>
            <a:ext uri="{FF2B5EF4-FFF2-40B4-BE49-F238E27FC236}">
              <a16:creationId xmlns:a16="http://schemas.microsoft.com/office/drawing/2014/main" id="{374FDEB9-9B05-4A37-B2E2-65B3D400F7AD}"/>
            </a:ext>
          </a:extLst>
        </xdr:cNvPr>
        <xdr:cNvSpPr txBox="1"/>
      </xdr:nvSpPr>
      <xdr:spPr>
        <a:xfrm>
          <a:off x="90486" y="995362"/>
          <a:ext cx="2309813"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FFC000"/>
              </a:solidFill>
            </a:rPr>
            <a:t>Manufacturing</a:t>
          </a:r>
          <a:r>
            <a:rPr lang="en-US" sz="1400" b="1" baseline="0">
              <a:solidFill>
                <a:srgbClr val="FFC000"/>
              </a:solidFill>
            </a:rPr>
            <a:t> &amp; Production</a:t>
          </a:r>
          <a:endParaRPr lang="en-US" sz="1400" b="1">
            <a:solidFill>
              <a:srgbClr val="FFC000"/>
            </a:solidFill>
          </a:endParaRPr>
        </a:p>
      </xdr:txBody>
    </xdr:sp>
    <xdr:clientData/>
  </xdr:twoCellAnchor>
  <xdr:twoCellAnchor>
    <xdr:from>
      <xdr:col>0</xdr:col>
      <xdr:colOff>90486</xdr:colOff>
      <xdr:row>7</xdr:row>
      <xdr:rowOff>76200</xdr:rowOff>
    </xdr:from>
    <xdr:to>
      <xdr:col>3</xdr:col>
      <xdr:colOff>533399</xdr:colOff>
      <xdr:row>9</xdr:row>
      <xdr:rowOff>28575</xdr:rowOff>
    </xdr:to>
    <xdr:sp macro="" textlink="">
      <xdr:nvSpPr>
        <xdr:cNvPr id="48" name="TextBox 47">
          <a:hlinkClick xmlns:r="http://schemas.openxmlformats.org/officeDocument/2006/relationships" r:id="rId6"/>
          <a:extLst>
            <a:ext uri="{FF2B5EF4-FFF2-40B4-BE49-F238E27FC236}">
              <a16:creationId xmlns:a16="http://schemas.microsoft.com/office/drawing/2014/main" id="{B2B4877E-A603-45E1-A196-C91B0C006177}"/>
            </a:ext>
          </a:extLst>
        </xdr:cNvPr>
        <xdr:cNvSpPr txBox="1"/>
      </xdr:nvSpPr>
      <xdr:spPr>
        <a:xfrm>
          <a:off x="90486" y="1409700"/>
          <a:ext cx="2271713"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FFC000"/>
              </a:solidFill>
            </a:rPr>
            <a:t>Supplier</a:t>
          </a:r>
          <a:r>
            <a:rPr lang="en-US" sz="1400" b="1" baseline="0">
              <a:solidFill>
                <a:srgbClr val="FFC000"/>
              </a:solidFill>
            </a:rPr>
            <a:t> &amp; Logistics</a:t>
          </a:r>
          <a:endParaRPr lang="en-US" sz="1400" b="1">
            <a:solidFill>
              <a:srgbClr val="FFC000"/>
            </a:solidFill>
          </a:endParaRPr>
        </a:p>
      </xdr:txBody>
    </xdr:sp>
    <xdr:clientData/>
  </xdr:twoCellAnchor>
  <xdr:twoCellAnchor>
    <xdr:from>
      <xdr:col>13</xdr:col>
      <xdr:colOff>495301</xdr:colOff>
      <xdr:row>15</xdr:row>
      <xdr:rowOff>19050</xdr:rowOff>
    </xdr:from>
    <xdr:to>
      <xdr:col>18</xdr:col>
      <xdr:colOff>190500</xdr:colOff>
      <xdr:row>26</xdr:row>
      <xdr:rowOff>104775</xdr:rowOff>
    </xdr:to>
    <xdr:graphicFrame macro="">
      <xdr:nvGraphicFramePr>
        <xdr:cNvPr id="49" name="Chart 48">
          <a:extLst>
            <a:ext uri="{FF2B5EF4-FFF2-40B4-BE49-F238E27FC236}">
              <a16:creationId xmlns:a16="http://schemas.microsoft.com/office/drawing/2014/main" id="{5A2C09F4-E9D4-4831-85D7-D68916DE1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542925</xdr:colOff>
      <xdr:row>15</xdr:row>
      <xdr:rowOff>38099</xdr:rowOff>
    </xdr:from>
    <xdr:to>
      <xdr:col>13</xdr:col>
      <xdr:colOff>419100</xdr:colOff>
      <xdr:row>26</xdr:row>
      <xdr:rowOff>85725</xdr:rowOff>
    </xdr:to>
    <xdr:graphicFrame macro="">
      <xdr:nvGraphicFramePr>
        <xdr:cNvPr id="3" name="Chart 2">
          <a:extLst>
            <a:ext uri="{FF2B5EF4-FFF2-40B4-BE49-F238E27FC236}">
              <a16:creationId xmlns:a16="http://schemas.microsoft.com/office/drawing/2014/main" id="{293D4C1F-8A8E-4DBA-B543-33CC6D8C7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123825</xdr:colOff>
      <xdr:row>0</xdr:row>
      <xdr:rowOff>33338</xdr:rowOff>
    </xdr:from>
    <xdr:to>
      <xdr:col>9</xdr:col>
      <xdr:colOff>200025</xdr:colOff>
      <xdr:row>4</xdr:row>
      <xdr:rowOff>123824</xdr:rowOff>
    </xdr:to>
    <xdr:grpSp>
      <xdr:nvGrpSpPr>
        <xdr:cNvPr id="33" name="Group 32">
          <a:extLst>
            <a:ext uri="{FF2B5EF4-FFF2-40B4-BE49-F238E27FC236}">
              <a16:creationId xmlns:a16="http://schemas.microsoft.com/office/drawing/2014/main" id="{6C7E2A03-0F3F-E01A-33E9-AEFA2FBB5527}"/>
            </a:ext>
          </a:extLst>
        </xdr:cNvPr>
        <xdr:cNvGrpSpPr/>
      </xdr:nvGrpSpPr>
      <xdr:grpSpPr>
        <a:xfrm>
          <a:off x="2573111" y="33338"/>
          <a:ext cx="3137807" cy="838879"/>
          <a:chOff x="2562225" y="33338"/>
          <a:chExt cx="3124200" cy="852486"/>
        </a:xfrm>
      </xdr:grpSpPr>
      <xdr:sp macro="" textlink="">
        <xdr:nvSpPr>
          <xdr:cNvPr id="4" name="Rectangle: Rounded Corners 3">
            <a:extLst>
              <a:ext uri="{FF2B5EF4-FFF2-40B4-BE49-F238E27FC236}">
                <a16:creationId xmlns:a16="http://schemas.microsoft.com/office/drawing/2014/main" id="{75BE1C37-18B0-1153-54F7-DCD54B702367}"/>
              </a:ext>
            </a:extLst>
          </xdr:cNvPr>
          <xdr:cNvSpPr/>
        </xdr:nvSpPr>
        <xdr:spPr>
          <a:xfrm>
            <a:off x="2562225" y="33338"/>
            <a:ext cx="2762250" cy="790575"/>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Rounded Corners 28">
            <a:extLst>
              <a:ext uri="{FF2B5EF4-FFF2-40B4-BE49-F238E27FC236}">
                <a16:creationId xmlns:a16="http://schemas.microsoft.com/office/drawing/2014/main" id="{569F587D-D013-8B81-76C0-A81D03B5B9C1}"/>
              </a:ext>
            </a:extLst>
          </xdr:cNvPr>
          <xdr:cNvSpPr/>
        </xdr:nvSpPr>
        <xdr:spPr>
          <a:xfrm>
            <a:off x="4191001" y="523875"/>
            <a:ext cx="1495424" cy="36194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C000"/>
                </a:solidFill>
              </a:rPr>
              <a:t>Total Revenue</a:t>
            </a:r>
          </a:p>
        </xdr:txBody>
      </xdr:sp>
      <xdr:sp macro="" textlink="PIVOT_TABLE!H25">
        <xdr:nvSpPr>
          <xdr:cNvPr id="30" name="Rectangle: Rounded Corners 29">
            <a:extLst>
              <a:ext uri="{FF2B5EF4-FFF2-40B4-BE49-F238E27FC236}">
                <a16:creationId xmlns:a16="http://schemas.microsoft.com/office/drawing/2014/main" id="{F939201A-FD32-11E5-E0C9-8C7D4DB75E62}"/>
              </a:ext>
            </a:extLst>
          </xdr:cNvPr>
          <xdr:cNvSpPr/>
        </xdr:nvSpPr>
        <xdr:spPr>
          <a:xfrm>
            <a:off x="3638550" y="57150"/>
            <a:ext cx="1628775" cy="5143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B5CB81D2-3AD2-4531-93ED-258C8B91AFE8}" type="TxLink">
              <a:rPr lang="en-US" sz="2400" b="1" i="0" u="none" strike="noStrike">
                <a:solidFill>
                  <a:srgbClr val="FFC000"/>
                </a:solidFill>
                <a:latin typeface="Calibri"/>
                <a:cs typeface="Calibri"/>
              </a:rPr>
              <a:t>174454</a:t>
            </a:fld>
            <a:endParaRPr lang="en-US" sz="2400" b="1">
              <a:solidFill>
                <a:srgbClr val="FFC000"/>
              </a:solidFill>
            </a:endParaRPr>
          </a:p>
        </xdr:txBody>
      </xdr:sp>
      <xdr:pic>
        <xdr:nvPicPr>
          <xdr:cNvPr id="32" name="Graphic 31" descr="Money">
            <a:extLst>
              <a:ext uri="{FF2B5EF4-FFF2-40B4-BE49-F238E27FC236}">
                <a16:creationId xmlns:a16="http://schemas.microsoft.com/office/drawing/2014/main" id="{5297D3B1-71C1-034A-BA7C-02D95DB74B9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667000" y="85724"/>
            <a:ext cx="914400" cy="771525"/>
          </a:xfrm>
          <a:prstGeom prst="rect">
            <a:avLst/>
          </a:prstGeom>
        </xdr:spPr>
      </xdr:pic>
    </xdr:grpSp>
    <xdr:clientData/>
  </xdr:twoCellAnchor>
  <xdr:twoCellAnchor>
    <xdr:from>
      <xdr:col>8</xdr:col>
      <xdr:colOff>514350</xdr:colOff>
      <xdr:row>0</xdr:row>
      <xdr:rowOff>33338</xdr:rowOff>
    </xdr:from>
    <xdr:to>
      <xdr:col>14</xdr:col>
      <xdr:colOff>228600</xdr:colOff>
      <xdr:row>4</xdr:row>
      <xdr:rowOff>114300</xdr:rowOff>
    </xdr:to>
    <xdr:grpSp>
      <xdr:nvGrpSpPr>
        <xdr:cNvPr id="38" name="Group 37">
          <a:extLst>
            <a:ext uri="{FF2B5EF4-FFF2-40B4-BE49-F238E27FC236}">
              <a16:creationId xmlns:a16="http://schemas.microsoft.com/office/drawing/2014/main" id="{4EF100EF-197C-9DD0-94ED-7A55DBB43F35}"/>
            </a:ext>
          </a:extLst>
        </xdr:cNvPr>
        <xdr:cNvGrpSpPr/>
      </xdr:nvGrpSpPr>
      <xdr:grpSpPr>
        <a:xfrm>
          <a:off x="5412921" y="33338"/>
          <a:ext cx="3388179" cy="829355"/>
          <a:chOff x="5391150" y="33338"/>
          <a:chExt cx="3371850" cy="842962"/>
        </a:xfrm>
      </xdr:grpSpPr>
      <xdr:sp macro="" textlink="">
        <xdr:nvSpPr>
          <xdr:cNvPr id="6" name="Rectangle: Rounded Corners 5">
            <a:extLst>
              <a:ext uri="{FF2B5EF4-FFF2-40B4-BE49-F238E27FC236}">
                <a16:creationId xmlns:a16="http://schemas.microsoft.com/office/drawing/2014/main" id="{211D6DDE-EC47-4398-8F9A-BF5C1D3CF6F2}"/>
              </a:ext>
            </a:extLst>
          </xdr:cNvPr>
          <xdr:cNvSpPr/>
        </xdr:nvSpPr>
        <xdr:spPr>
          <a:xfrm>
            <a:off x="5391150" y="33338"/>
            <a:ext cx="2914650" cy="790575"/>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Rounded Corners 33">
            <a:extLst>
              <a:ext uri="{FF2B5EF4-FFF2-40B4-BE49-F238E27FC236}">
                <a16:creationId xmlns:a16="http://schemas.microsoft.com/office/drawing/2014/main" id="{D8A92A0A-4243-4EFB-2FD9-052CBF99B9DF}"/>
              </a:ext>
            </a:extLst>
          </xdr:cNvPr>
          <xdr:cNvSpPr/>
        </xdr:nvSpPr>
        <xdr:spPr>
          <a:xfrm>
            <a:off x="7077075" y="542925"/>
            <a:ext cx="1685925" cy="3333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C000"/>
                </a:solidFill>
              </a:rPr>
              <a:t>Total</a:t>
            </a:r>
            <a:r>
              <a:rPr lang="en-US" sz="1200" b="1" baseline="0">
                <a:solidFill>
                  <a:srgbClr val="FFC000"/>
                </a:solidFill>
              </a:rPr>
              <a:t> Units Sold</a:t>
            </a:r>
            <a:endParaRPr lang="en-US" sz="1200" b="1">
              <a:solidFill>
                <a:srgbClr val="FFC000"/>
              </a:solidFill>
            </a:endParaRPr>
          </a:p>
        </xdr:txBody>
      </xdr:sp>
      <xdr:sp macro="" textlink="PIVOT_TABLE!H28">
        <xdr:nvSpPr>
          <xdr:cNvPr id="35" name="Rectangle: Rounded Corners 34">
            <a:extLst>
              <a:ext uri="{FF2B5EF4-FFF2-40B4-BE49-F238E27FC236}">
                <a16:creationId xmlns:a16="http://schemas.microsoft.com/office/drawing/2014/main" id="{28CFD870-4302-01AE-C9EC-70624723C4E3}"/>
              </a:ext>
            </a:extLst>
          </xdr:cNvPr>
          <xdr:cNvSpPr/>
        </xdr:nvSpPr>
        <xdr:spPr>
          <a:xfrm>
            <a:off x="7324725" y="95250"/>
            <a:ext cx="1228725" cy="4667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20CC286-957C-4C06-AE38-2A0C68CA062E}" type="TxLink">
              <a:rPr lang="en-US" sz="2400" b="1" i="0" u="none" strike="noStrike">
                <a:solidFill>
                  <a:srgbClr val="FFC000"/>
                </a:solidFill>
                <a:latin typeface="Calibri"/>
                <a:cs typeface="Calibri"/>
              </a:rPr>
              <a:t>13611</a:t>
            </a:fld>
            <a:endParaRPr lang="en-US" sz="2400" b="1">
              <a:solidFill>
                <a:srgbClr val="FFC000"/>
              </a:solidFill>
            </a:endParaRPr>
          </a:p>
        </xdr:txBody>
      </xdr:sp>
      <xdr:pic>
        <xdr:nvPicPr>
          <xdr:cNvPr id="37" name="Graphic 36" descr="Box">
            <a:extLst>
              <a:ext uri="{FF2B5EF4-FFF2-40B4-BE49-F238E27FC236}">
                <a16:creationId xmlns:a16="http://schemas.microsoft.com/office/drawing/2014/main" id="{5457C332-D792-CCDD-11EC-BCA0BB9C64E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14975" y="95250"/>
            <a:ext cx="828675" cy="733426"/>
          </a:xfrm>
          <a:prstGeom prst="rect">
            <a:avLst/>
          </a:prstGeom>
        </xdr:spPr>
      </xdr:pic>
    </xdr:grpSp>
    <xdr:clientData/>
  </xdr:twoCellAnchor>
  <xdr:twoCellAnchor>
    <xdr:from>
      <xdr:col>13</xdr:col>
      <xdr:colOff>466725</xdr:colOff>
      <xdr:row>0</xdr:row>
      <xdr:rowOff>23813</xdr:rowOff>
    </xdr:from>
    <xdr:to>
      <xdr:col>18</xdr:col>
      <xdr:colOff>285750</xdr:colOff>
      <xdr:row>4</xdr:row>
      <xdr:rowOff>95250</xdr:rowOff>
    </xdr:to>
    <xdr:grpSp>
      <xdr:nvGrpSpPr>
        <xdr:cNvPr id="51" name="Group 50">
          <a:extLst>
            <a:ext uri="{FF2B5EF4-FFF2-40B4-BE49-F238E27FC236}">
              <a16:creationId xmlns:a16="http://schemas.microsoft.com/office/drawing/2014/main" id="{22DA1FAF-781B-67E1-6AD7-5540BFC202D8}"/>
            </a:ext>
          </a:extLst>
        </xdr:cNvPr>
        <xdr:cNvGrpSpPr/>
      </xdr:nvGrpSpPr>
      <xdr:grpSpPr>
        <a:xfrm>
          <a:off x="8426904" y="23813"/>
          <a:ext cx="2880632" cy="819830"/>
          <a:chOff x="8372475" y="23813"/>
          <a:chExt cx="2867025" cy="833437"/>
        </a:xfrm>
      </xdr:grpSpPr>
      <xdr:sp macro="" textlink="">
        <xdr:nvSpPr>
          <xdr:cNvPr id="26" name="Rectangle: Rounded Corners 25">
            <a:extLst>
              <a:ext uri="{FF2B5EF4-FFF2-40B4-BE49-F238E27FC236}">
                <a16:creationId xmlns:a16="http://schemas.microsoft.com/office/drawing/2014/main" id="{78B53BBB-81AC-4833-A62B-3CA03850E1C7}"/>
              </a:ext>
            </a:extLst>
          </xdr:cNvPr>
          <xdr:cNvSpPr/>
        </xdr:nvSpPr>
        <xdr:spPr>
          <a:xfrm>
            <a:off x="8372475" y="23813"/>
            <a:ext cx="2781300" cy="790575"/>
          </a:xfrm>
          <a:prstGeom prst="roundRect">
            <a:avLst/>
          </a:prstGeom>
          <a:solidFill>
            <a:schemeClr val="tx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Rounded Corners 38">
            <a:extLst>
              <a:ext uri="{FF2B5EF4-FFF2-40B4-BE49-F238E27FC236}">
                <a16:creationId xmlns:a16="http://schemas.microsoft.com/office/drawing/2014/main" id="{7981D16B-0B8F-A544-1C90-C33F107B4D87}"/>
              </a:ext>
            </a:extLst>
          </xdr:cNvPr>
          <xdr:cNvSpPr/>
        </xdr:nvSpPr>
        <xdr:spPr>
          <a:xfrm>
            <a:off x="10020300" y="542925"/>
            <a:ext cx="1219200" cy="2571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rgbClr val="FFC000"/>
                </a:solidFill>
              </a:rPr>
              <a:t>Total Products</a:t>
            </a:r>
          </a:p>
        </xdr:txBody>
      </xdr:sp>
      <xdr:sp macro="" textlink="PIVOT_TABLE!B9">
        <xdr:nvSpPr>
          <xdr:cNvPr id="40" name="Rectangle: Rounded Corners 39">
            <a:extLst>
              <a:ext uri="{FF2B5EF4-FFF2-40B4-BE49-F238E27FC236}">
                <a16:creationId xmlns:a16="http://schemas.microsoft.com/office/drawing/2014/main" id="{DD2DAB0F-6A6C-AA10-C620-24241C1BEEED}"/>
              </a:ext>
            </a:extLst>
          </xdr:cNvPr>
          <xdr:cNvSpPr/>
        </xdr:nvSpPr>
        <xdr:spPr>
          <a:xfrm>
            <a:off x="10315575" y="104775"/>
            <a:ext cx="809625" cy="438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94FE7FD-BEBB-4652-A73A-B2F27A5064F7}" type="TxLink">
              <a:rPr lang="en-US" sz="2400" b="1" i="0" u="none" strike="noStrike">
                <a:solidFill>
                  <a:srgbClr val="FFC000"/>
                </a:solidFill>
                <a:latin typeface="Calibri"/>
                <a:cs typeface="Calibri"/>
              </a:rPr>
              <a:pPr algn="l"/>
              <a:t>100</a:t>
            </a:fld>
            <a:endParaRPr lang="en-US" sz="2400" b="1">
              <a:solidFill>
                <a:srgbClr val="FFC000"/>
              </a:solidFill>
            </a:endParaRPr>
          </a:p>
        </xdr:txBody>
      </xdr:sp>
      <xdr:pic>
        <xdr:nvPicPr>
          <xdr:cNvPr id="44" name="Graphic 43" descr="Gold bars">
            <a:extLst>
              <a:ext uri="{FF2B5EF4-FFF2-40B4-BE49-F238E27FC236}">
                <a16:creationId xmlns:a16="http://schemas.microsoft.com/office/drawing/2014/main" id="{7FFF6392-40A3-C1F0-ED3F-5EC9E1ED37D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496300" y="38100"/>
            <a:ext cx="819150" cy="819150"/>
          </a:xfrm>
          <a:prstGeom prst="rect">
            <a:avLst/>
          </a:prstGeom>
        </xdr:spPr>
      </xdr:pic>
    </xdr:grpSp>
    <xdr:clientData/>
  </xdr:twoCellAnchor>
  <xdr:twoCellAnchor editAs="oneCell">
    <xdr:from>
      <xdr:col>0</xdr:col>
      <xdr:colOff>104775</xdr:colOff>
      <xdr:row>9</xdr:row>
      <xdr:rowOff>152400</xdr:rowOff>
    </xdr:from>
    <xdr:to>
      <xdr:col>3</xdr:col>
      <xdr:colOff>361951</xdr:colOff>
      <xdr:row>16</xdr:row>
      <xdr:rowOff>38100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C7E8845A-BDF7-4DF4-A21C-CB09F90031F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4775" y="1866900"/>
              <a:ext cx="2085976"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8.66733009259" createdVersion="8" refreshedVersion="8" minRefreshableVersion="3" recordCount="100" xr:uid="{C55CCADC-E89B-4668-882C-C5C7D3DE59FB}">
  <cacheSource type="worksheet">
    <worksheetSource name="supply_chain_analysis"/>
  </cacheSource>
  <cacheFields count="24">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0">
      <sharedItems containsSemiMixedTypes="0" containsString="0" containsNumber="1" containsInteger="1" minValue="2" maxValue="99"/>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containsInteger="1" minValue="1062" maxValue="9866"/>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Delivery 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0">
      <sharedItems containsSemiMixedTypes="0" containsString="0" containsNumber="1" containsInteger="1" minValue="1" maxValue="10"/>
    </cacheField>
    <cacheField name="Supplier name" numFmtId="0">
      <sharedItems count="5">
        <s v="Supplier 3"/>
        <s v="Supplier 1"/>
        <s v="Supplier 5"/>
        <s v="Supplier 4"/>
        <s v="Supplier 2"/>
      </sharedItems>
    </cacheField>
    <cacheField name="Location" numFmtId="0">
      <sharedItems/>
    </cacheField>
    <cacheField name="Supplier 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containsInteger="1" minValue="1" maxValue="99"/>
    </cacheField>
    <cacheField name="Inspection results" numFmtId="0">
      <sharedItems count="3">
        <s v="Pending"/>
        <s v="Fail"/>
        <s v="Pass"/>
      </sharedItems>
    </cacheField>
    <cacheField name="Defect rates" numFmtId="0">
      <sharedItems containsSemiMixedTypes="0" containsString="0" containsNumber="1" minValue="1.8607568000000001E-2" maxValue="4.9392552890000001"/>
    </cacheField>
    <cacheField name="Transportation modes" numFmtId="0">
      <sharedItems/>
    </cacheField>
    <cacheField name="Routes" numFmtId="0">
      <sharedItems count="3">
        <s v="Route B"/>
        <s v="Route C"/>
        <s v="Route A"/>
      </sharedItems>
    </cacheField>
    <cacheField name="Costs" numFmtId="0">
      <sharedItems containsSemiMixedTypes="0" containsString="0" containsNumber="1" containsInteger="1" minValue="104" maxValue="997"/>
    </cacheField>
  </cacheFields>
  <extLst>
    <ext xmlns:x14="http://schemas.microsoft.com/office/spreadsheetml/2009/9/main" uri="{725AE2AE-9491-48be-B2B4-4EB974FC3084}">
      <x14:pivotCacheDefinition pivotCacheId="1577125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70"/>
    <n v="55"/>
    <n v="802"/>
    <n v="8662"/>
    <x v="0"/>
    <n v="58"/>
    <n v="7"/>
    <n v="96"/>
    <n v="4"/>
    <x v="0"/>
    <n v="3"/>
    <x v="0"/>
    <s v="Mumbai"/>
    <n v="29"/>
    <n v="215"/>
    <n v="29"/>
    <n v="46"/>
    <x v="0"/>
    <n v="0.226410361"/>
    <s v="Road"/>
    <x v="0"/>
    <n v="188"/>
  </r>
  <r>
    <x v="1"/>
    <x v="1"/>
    <n v="15"/>
    <n v="95"/>
    <n v="736"/>
    <n v="7461"/>
    <x v="1"/>
    <n v="53"/>
    <n v="30"/>
    <n v="37"/>
    <n v="2"/>
    <x v="1"/>
    <n v="10"/>
    <x v="0"/>
    <s v="Mumbai"/>
    <n v="23"/>
    <n v="517"/>
    <n v="30"/>
    <n v="34"/>
    <x v="0"/>
    <n v="4.8540680260000002"/>
    <s v="Road"/>
    <x v="0"/>
    <n v="503"/>
  </r>
  <r>
    <x v="0"/>
    <x v="2"/>
    <n v="11"/>
    <n v="34"/>
    <n v="8"/>
    <n v="9578"/>
    <x v="2"/>
    <n v="1"/>
    <n v="10"/>
    <n v="88"/>
    <n v="2"/>
    <x v="0"/>
    <n v="8"/>
    <x v="1"/>
    <s v="Mumbai"/>
    <n v="12"/>
    <n v="971"/>
    <n v="27"/>
    <n v="31"/>
    <x v="0"/>
    <n v="4.5805926189999999"/>
    <s v="Air"/>
    <x v="1"/>
    <n v="142"/>
  </r>
  <r>
    <x v="1"/>
    <x v="3"/>
    <n v="61"/>
    <n v="68"/>
    <n v="83"/>
    <n v="7767"/>
    <x v="0"/>
    <n v="23"/>
    <n v="13"/>
    <n v="59"/>
    <n v="6"/>
    <x v="2"/>
    <n v="2"/>
    <x v="2"/>
    <s v="Kolkata"/>
    <n v="24"/>
    <n v="937"/>
    <n v="18"/>
    <n v="36"/>
    <x v="1"/>
    <n v="4.7466486210000003"/>
    <s v="Rail"/>
    <x v="2"/>
    <n v="255"/>
  </r>
  <r>
    <x v="1"/>
    <x v="4"/>
    <n v="5"/>
    <n v="26"/>
    <n v="871"/>
    <n v="2687"/>
    <x v="0"/>
    <n v="5"/>
    <n v="3"/>
    <n v="56"/>
    <n v="8"/>
    <x v="1"/>
    <n v="4"/>
    <x v="1"/>
    <s v="Delhi"/>
    <n v="5"/>
    <n v="414"/>
    <n v="3"/>
    <n v="92"/>
    <x v="1"/>
    <n v="3.1455795229999999"/>
    <s v="Air"/>
    <x v="2"/>
    <n v="923"/>
  </r>
  <r>
    <x v="0"/>
    <x v="5"/>
    <n v="2"/>
    <n v="87"/>
    <n v="147"/>
    <n v="2828"/>
    <x v="0"/>
    <n v="90"/>
    <n v="27"/>
    <n v="66"/>
    <n v="3"/>
    <x v="0"/>
    <n v="4"/>
    <x v="3"/>
    <s v="Bangalore"/>
    <n v="10"/>
    <n v="104"/>
    <n v="17"/>
    <n v="57"/>
    <x v="1"/>
    <n v="2.779193512"/>
    <s v="Road"/>
    <x v="2"/>
    <n v="235"/>
  </r>
  <r>
    <x v="1"/>
    <x v="6"/>
    <n v="4"/>
    <n v="48"/>
    <n v="65"/>
    <n v="7823"/>
    <x v="3"/>
    <n v="11"/>
    <n v="15"/>
    <n v="58"/>
    <n v="8"/>
    <x v="2"/>
    <n v="4"/>
    <x v="0"/>
    <s v="Kolkata"/>
    <n v="14"/>
    <n v="314"/>
    <n v="24"/>
    <n v="1"/>
    <x v="0"/>
    <n v="1.0009106189999999"/>
    <s v="Sea"/>
    <x v="2"/>
    <n v="134"/>
  </r>
  <r>
    <x v="2"/>
    <x v="7"/>
    <n v="43"/>
    <n v="59"/>
    <n v="426"/>
    <n v="8496"/>
    <x v="1"/>
    <n v="93"/>
    <n v="17"/>
    <n v="11"/>
    <n v="1"/>
    <x v="0"/>
    <n v="2"/>
    <x v="3"/>
    <s v="Bangalore"/>
    <n v="22"/>
    <n v="564"/>
    <n v="1"/>
    <n v="99"/>
    <x v="1"/>
    <n v="0.39817718699999999"/>
    <s v="Road"/>
    <x v="1"/>
    <n v="802"/>
  </r>
  <r>
    <x v="2"/>
    <x v="8"/>
    <n v="69"/>
    <n v="78"/>
    <n v="150"/>
    <n v="7517"/>
    <x v="1"/>
    <n v="5"/>
    <n v="10"/>
    <n v="15"/>
    <n v="7"/>
    <x v="2"/>
    <n v="3"/>
    <x v="3"/>
    <s v="Mumbai"/>
    <n v="13"/>
    <n v="769"/>
    <n v="8"/>
    <n v="11"/>
    <x v="0"/>
    <n v="2.7098626910000001"/>
    <s v="Sea"/>
    <x v="0"/>
    <n v="506"/>
  </r>
  <r>
    <x v="1"/>
    <x v="9"/>
    <n v="64"/>
    <n v="35"/>
    <n v="980"/>
    <n v="4971"/>
    <x v="2"/>
    <n v="14"/>
    <n v="27"/>
    <n v="83"/>
    <n v="1"/>
    <x v="1"/>
    <n v="7"/>
    <x v="4"/>
    <s v="Chennai"/>
    <n v="29"/>
    <n v="963"/>
    <n v="23"/>
    <n v="48"/>
    <x v="0"/>
    <n v="3.8446144790000001"/>
    <s v="Rail"/>
    <x v="0"/>
    <n v="996"/>
  </r>
  <r>
    <x v="1"/>
    <x v="10"/>
    <n v="16"/>
    <n v="11"/>
    <n v="996"/>
    <n v="2331"/>
    <x v="0"/>
    <n v="51"/>
    <n v="13"/>
    <n v="80"/>
    <n v="2"/>
    <x v="2"/>
    <n v="9"/>
    <x v="2"/>
    <s v="Kolkata"/>
    <n v="18"/>
    <n v="830"/>
    <n v="5"/>
    <n v="97"/>
    <x v="2"/>
    <n v="1.7273139280000001"/>
    <s v="Road"/>
    <x v="0"/>
    <n v="806"/>
  </r>
  <r>
    <x v="1"/>
    <x v="11"/>
    <n v="91"/>
    <n v="95"/>
    <n v="960"/>
    <n v="6100"/>
    <x v="1"/>
    <n v="46"/>
    <n v="23"/>
    <n v="60"/>
    <n v="1"/>
    <x v="1"/>
    <n v="5"/>
    <x v="4"/>
    <s v="Kolkata"/>
    <n v="28"/>
    <n v="362"/>
    <n v="11"/>
    <n v="28"/>
    <x v="0"/>
    <n v="2.1169820999999998E-2"/>
    <s v="Air"/>
    <x v="2"/>
    <n v="127"/>
  </r>
  <r>
    <x v="0"/>
    <x v="12"/>
    <n v="71"/>
    <n v="41"/>
    <n v="336"/>
    <n v="2874"/>
    <x v="2"/>
    <n v="100"/>
    <n v="30"/>
    <n v="85"/>
    <n v="4"/>
    <x v="1"/>
    <n v="1"/>
    <x v="3"/>
    <s v="Kolkata"/>
    <n v="3"/>
    <n v="563"/>
    <n v="3"/>
    <n v="32"/>
    <x v="1"/>
    <n v="2.161253748"/>
    <s v="Road"/>
    <x v="0"/>
    <n v="403"/>
  </r>
  <r>
    <x v="1"/>
    <x v="13"/>
    <n v="16"/>
    <n v="5"/>
    <n v="249"/>
    <n v="4053"/>
    <x v="3"/>
    <n v="80"/>
    <n v="8"/>
    <n v="48"/>
    <n v="9"/>
    <x v="1"/>
    <n v="10"/>
    <x v="2"/>
    <s v="Bangalore"/>
    <n v="23"/>
    <n v="173"/>
    <n v="10"/>
    <n v="98"/>
    <x v="0"/>
    <n v="1.6310742300000001"/>
    <s v="Road"/>
    <x v="0"/>
    <n v="547"/>
  </r>
  <r>
    <x v="1"/>
    <x v="14"/>
    <n v="99"/>
    <n v="26"/>
    <n v="562"/>
    <n v="8654"/>
    <x v="0"/>
    <n v="54"/>
    <n v="29"/>
    <n v="78"/>
    <n v="5"/>
    <x v="0"/>
    <n v="2"/>
    <x v="1"/>
    <s v="Kolkata"/>
    <n v="25"/>
    <n v="558"/>
    <n v="14"/>
    <n v="6"/>
    <x v="0"/>
    <n v="0.100682852"/>
    <s v="Air"/>
    <x v="0"/>
    <n v="929"/>
  </r>
  <r>
    <x v="1"/>
    <x v="15"/>
    <n v="37"/>
    <n v="94"/>
    <n v="469"/>
    <n v="5442"/>
    <x v="0"/>
    <n v="9"/>
    <n v="8"/>
    <n v="69"/>
    <n v="7"/>
    <x v="0"/>
    <n v="2"/>
    <x v="1"/>
    <s v="Bangalore"/>
    <n v="14"/>
    <n v="580"/>
    <n v="7"/>
    <n v="97"/>
    <x v="2"/>
    <n v="2.2644057609999999"/>
    <s v="Sea"/>
    <x v="0"/>
    <n v="128"/>
  </r>
  <r>
    <x v="1"/>
    <x v="16"/>
    <n v="8"/>
    <n v="74"/>
    <n v="280"/>
    <n v="6454"/>
    <x v="1"/>
    <n v="2"/>
    <n v="5"/>
    <n v="78"/>
    <n v="1"/>
    <x v="0"/>
    <n v="4"/>
    <x v="1"/>
    <s v="Bangalore"/>
    <n v="3"/>
    <n v="399"/>
    <n v="21"/>
    <n v="77"/>
    <x v="2"/>
    <n v="1.0125630889999999"/>
    <s v="Air"/>
    <x v="2"/>
    <n v="866"/>
  </r>
  <r>
    <x v="2"/>
    <x v="17"/>
    <n v="81"/>
    <n v="82"/>
    <n v="126"/>
    <n v="2629"/>
    <x v="1"/>
    <n v="45"/>
    <n v="17"/>
    <n v="85"/>
    <n v="9"/>
    <x v="2"/>
    <n v="4"/>
    <x v="1"/>
    <s v="Chennai"/>
    <n v="7"/>
    <n v="453"/>
    <n v="16"/>
    <n v="48"/>
    <x v="1"/>
    <n v="0.102020755"/>
    <s v="Air"/>
    <x v="1"/>
    <n v="671"/>
  </r>
  <r>
    <x v="0"/>
    <x v="18"/>
    <n v="36"/>
    <n v="23"/>
    <n v="620"/>
    <n v="9365"/>
    <x v="2"/>
    <n v="10"/>
    <n v="10"/>
    <n v="46"/>
    <n v="8"/>
    <x v="2"/>
    <n v="4"/>
    <x v="4"/>
    <s v="Kolkata"/>
    <n v="18"/>
    <n v="374"/>
    <n v="17"/>
    <n v="27"/>
    <x v="0"/>
    <n v="2.231939111"/>
    <s v="Sea"/>
    <x v="2"/>
    <n v="593"/>
  </r>
  <r>
    <x v="1"/>
    <x v="19"/>
    <n v="51"/>
    <n v="100"/>
    <n v="187"/>
    <n v="2553"/>
    <x v="2"/>
    <n v="48"/>
    <n v="11"/>
    <n v="94"/>
    <n v="3"/>
    <x v="1"/>
    <n v="5"/>
    <x v="3"/>
    <s v="Chennai"/>
    <n v="20"/>
    <n v="694"/>
    <n v="16"/>
    <n v="82"/>
    <x v="1"/>
    <n v="3.6464508649999998"/>
    <s v="Road"/>
    <x v="1"/>
    <n v="477"/>
  </r>
  <r>
    <x v="1"/>
    <x v="20"/>
    <n v="96"/>
    <n v="22"/>
    <n v="320"/>
    <n v="8128"/>
    <x v="2"/>
    <n v="27"/>
    <n v="12"/>
    <n v="68"/>
    <n v="6"/>
    <x v="1"/>
    <n v="9"/>
    <x v="1"/>
    <s v="Chennai"/>
    <n v="29"/>
    <n v="309"/>
    <n v="6"/>
    <n v="66"/>
    <x v="2"/>
    <n v="4.2314165739999998"/>
    <s v="Air"/>
    <x v="0"/>
    <n v="494"/>
  </r>
  <r>
    <x v="2"/>
    <x v="21"/>
    <n v="85"/>
    <n v="60"/>
    <n v="601"/>
    <n v="7087"/>
    <x v="2"/>
    <n v="69"/>
    <n v="25"/>
    <n v="7"/>
    <n v="6"/>
    <x v="0"/>
    <n v="6"/>
    <x v="2"/>
    <s v="Chennai"/>
    <n v="19"/>
    <n v="791"/>
    <n v="4"/>
    <n v="62"/>
    <x v="0"/>
    <n v="1.8607568000000001E-2"/>
    <s v="Air"/>
    <x v="1"/>
    <n v="523"/>
  </r>
  <r>
    <x v="0"/>
    <x v="22"/>
    <n v="28"/>
    <n v="55"/>
    <n v="884"/>
    <n v="2391"/>
    <x v="2"/>
    <n v="71"/>
    <n v="1"/>
    <n v="63"/>
    <n v="10"/>
    <x v="1"/>
    <n v="10"/>
    <x v="3"/>
    <s v="Kolkata"/>
    <n v="22"/>
    <n v="780"/>
    <n v="28"/>
    <n v="50"/>
    <x v="1"/>
    <n v="2.5912754730000001"/>
    <s v="Rail"/>
    <x v="1"/>
    <n v="206"/>
  </r>
  <r>
    <x v="2"/>
    <x v="23"/>
    <n v="4"/>
    <n v="30"/>
    <n v="391"/>
    <n v="8858"/>
    <x v="2"/>
    <n v="84"/>
    <n v="5"/>
    <n v="29"/>
    <n v="7"/>
    <x v="1"/>
    <n v="3"/>
    <x v="2"/>
    <s v="Kolkata"/>
    <n v="11"/>
    <n v="568"/>
    <n v="29"/>
    <n v="99"/>
    <x v="0"/>
    <n v="1.3422915630000001"/>
    <s v="Rail"/>
    <x v="2"/>
    <n v="196"/>
  </r>
  <r>
    <x v="0"/>
    <x v="24"/>
    <n v="4"/>
    <n v="32"/>
    <n v="209"/>
    <n v="9049"/>
    <x v="3"/>
    <n v="4"/>
    <n v="26"/>
    <n v="2"/>
    <n v="8"/>
    <x v="2"/>
    <n v="10"/>
    <x v="4"/>
    <s v="Bangalore"/>
    <n v="28"/>
    <n v="447"/>
    <n v="3"/>
    <n v="40"/>
    <x v="0"/>
    <n v="3.6913102929999999"/>
    <s v="Air"/>
    <x v="2"/>
    <n v="759"/>
  </r>
  <r>
    <x v="0"/>
    <x v="25"/>
    <n v="40"/>
    <n v="73"/>
    <n v="142"/>
    <n v="2175"/>
    <x v="3"/>
    <n v="82"/>
    <n v="11"/>
    <n v="52"/>
    <n v="3"/>
    <x v="2"/>
    <n v="2"/>
    <x v="3"/>
    <s v="Kolkata"/>
    <n v="19"/>
    <n v="934"/>
    <n v="23"/>
    <n v="78"/>
    <x v="0"/>
    <n v="3.7972312170000002"/>
    <s v="Road"/>
    <x v="0"/>
    <n v="459"/>
  </r>
  <r>
    <x v="0"/>
    <x v="26"/>
    <n v="97"/>
    <n v="9"/>
    <n v="353"/>
    <n v="3716"/>
    <x v="3"/>
    <n v="59"/>
    <n v="16"/>
    <n v="48"/>
    <n v="4"/>
    <x v="0"/>
    <n v="7"/>
    <x v="4"/>
    <s v="Bangalore"/>
    <n v="26"/>
    <n v="171"/>
    <n v="4"/>
    <n v="16"/>
    <x v="2"/>
    <n v="2.1193197370000001"/>
    <s v="Rail"/>
    <x v="2"/>
    <n v="618"/>
  </r>
  <r>
    <x v="2"/>
    <x v="27"/>
    <n v="93"/>
    <n v="42"/>
    <n v="352"/>
    <n v="2686"/>
    <x v="2"/>
    <n v="47"/>
    <n v="9"/>
    <n v="62"/>
    <n v="8"/>
    <x v="2"/>
    <n v="7"/>
    <x v="2"/>
    <s v="Mumbai"/>
    <n v="25"/>
    <n v="291"/>
    <n v="4"/>
    <n v="11"/>
    <x v="1"/>
    <n v="2.8646678379999999"/>
    <s v="Sea"/>
    <x v="0"/>
    <n v="762"/>
  </r>
  <r>
    <x v="2"/>
    <x v="28"/>
    <n v="2"/>
    <n v="12"/>
    <n v="394"/>
    <n v="6117"/>
    <x v="1"/>
    <n v="48"/>
    <n v="15"/>
    <n v="24"/>
    <n v="4"/>
    <x v="0"/>
    <n v="10"/>
    <x v="1"/>
    <s v="Mumbai"/>
    <n v="13"/>
    <n v="171"/>
    <n v="7"/>
    <n v="59"/>
    <x v="1"/>
    <n v="0.81575707900000005"/>
    <s v="Air"/>
    <x v="2"/>
    <n v="123"/>
  </r>
  <r>
    <x v="2"/>
    <x v="29"/>
    <n v="63"/>
    <n v="3"/>
    <n v="253"/>
    <n v="8319"/>
    <x v="1"/>
    <n v="45"/>
    <n v="5"/>
    <n v="67"/>
    <n v="7"/>
    <x v="0"/>
    <n v="8"/>
    <x v="1"/>
    <s v="Kolkata"/>
    <n v="16"/>
    <n v="329"/>
    <n v="7"/>
    <n v="39"/>
    <x v="2"/>
    <n v="3.8780989369999999"/>
    <s v="Road"/>
    <x v="0"/>
    <n v="765"/>
  </r>
  <r>
    <x v="0"/>
    <x v="30"/>
    <n v="8"/>
    <n v="10"/>
    <n v="327"/>
    <n v="2766"/>
    <x v="3"/>
    <n v="60"/>
    <n v="26"/>
    <n v="35"/>
    <n v="7"/>
    <x v="0"/>
    <n v="9"/>
    <x v="3"/>
    <s v="Kolkata"/>
    <n v="27"/>
    <n v="806"/>
    <n v="30"/>
    <n v="52"/>
    <x v="0"/>
    <n v="0.96539470500000002"/>
    <s v="Road"/>
    <x v="1"/>
    <n v="880"/>
  </r>
  <r>
    <x v="1"/>
    <x v="31"/>
    <n v="51"/>
    <n v="28"/>
    <n v="168"/>
    <n v="9655"/>
    <x v="3"/>
    <n v="6"/>
    <n v="17"/>
    <n v="44"/>
    <n v="4"/>
    <x v="0"/>
    <n v="3"/>
    <x v="0"/>
    <s v="Chennai"/>
    <n v="24"/>
    <n v="461"/>
    <n v="8"/>
    <n v="60"/>
    <x v="0"/>
    <n v="2.989000007"/>
    <s v="Rail"/>
    <x v="1"/>
    <n v="609"/>
  </r>
  <r>
    <x v="1"/>
    <x v="32"/>
    <n v="79"/>
    <n v="43"/>
    <n v="781"/>
    <n v="9572"/>
    <x v="2"/>
    <n v="89"/>
    <n v="13"/>
    <n v="64"/>
    <n v="4"/>
    <x v="2"/>
    <n v="7"/>
    <x v="0"/>
    <s v="Kolkata"/>
    <n v="30"/>
    <n v="737"/>
    <n v="7"/>
    <n v="30"/>
    <x v="2"/>
    <n v="1.946036119"/>
    <s v="Road"/>
    <x v="2"/>
    <n v="761"/>
  </r>
  <r>
    <x v="2"/>
    <x v="33"/>
    <n v="65"/>
    <n v="63"/>
    <n v="616"/>
    <n v="5150"/>
    <x v="0"/>
    <n v="4"/>
    <n v="17"/>
    <n v="95"/>
    <n v="9"/>
    <x v="2"/>
    <n v="5"/>
    <x v="2"/>
    <s v="Chennai"/>
    <n v="1"/>
    <n v="251"/>
    <n v="23"/>
    <n v="24"/>
    <x v="1"/>
    <n v="3.5410460119999998"/>
    <s v="Sea"/>
    <x v="2"/>
    <n v="371"/>
  </r>
  <r>
    <x v="1"/>
    <x v="34"/>
    <n v="37"/>
    <n v="96"/>
    <n v="602"/>
    <n v="9062"/>
    <x v="2"/>
    <n v="1"/>
    <n v="26"/>
    <n v="21"/>
    <n v="7"/>
    <x v="1"/>
    <n v="1"/>
    <x v="1"/>
    <s v="Chennai"/>
    <n v="4"/>
    <n v="452"/>
    <n v="10"/>
    <n v="11"/>
    <x v="2"/>
    <n v="0.64660455900000002"/>
    <s v="Road"/>
    <x v="0"/>
    <n v="510"/>
  </r>
  <r>
    <x v="2"/>
    <x v="35"/>
    <n v="85"/>
    <n v="11"/>
    <n v="449"/>
    <n v="6541"/>
    <x v="1"/>
    <n v="42"/>
    <n v="27"/>
    <n v="85"/>
    <n v="8"/>
    <x v="2"/>
    <n v="5"/>
    <x v="1"/>
    <s v="Delhi"/>
    <n v="3"/>
    <n v="367"/>
    <n v="2"/>
    <n v="58"/>
    <x v="2"/>
    <n v="0.54115409800000003"/>
    <s v="Sea"/>
    <x v="1"/>
    <n v="553"/>
  </r>
  <r>
    <x v="1"/>
    <x v="36"/>
    <n v="10"/>
    <n v="34"/>
    <n v="963"/>
    <n v="7573"/>
    <x v="1"/>
    <n v="18"/>
    <n v="23"/>
    <n v="28"/>
    <n v="3"/>
    <x v="0"/>
    <n v="2"/>
    <x v="4"/>
    <s v="Delhi"/>
    <n v="26"/>
    <n v="671"/>
    <n v="19"/>
    <n v="46"/>
    <x v="1"/>
    <n v="3.8055333789999999"/>
    <s v="Air"/>
    <x v="1"/>
    <n v="404"/>
  </r>
  <r>
    <x v="1"/>
    <x v="37"/>
    <n v="23"/>
    <n v="5"/>
    <n v="963"/>
    <n v="2438"/>
    <x v="1"/>
    <n v="25"/>
    <n v="8"/>
    <n v="21"/>
    <n v="9"/>
    <x v="1"/>
    <n v="2"/>
    <x v="0"/>
    <s v="Kolkata"/>
    <n v="24"/>
    <n v="867"/>
    <n v="15"/>
    <n v="34"/>
    <x v="0"/>
    <n v="2.6102880850000001"/>
    <s v="Sea"/>
    <x v="2"/>
    <n v="184"/>
  </r>
  <r>
    <x v="2"/>
    <x v="38"/>
    <n v="52"/>
    <n v="75"/>
    <n v="705"/>
    <n v="9692"/>
    <x v="0"/>
    <n v="69"/>
    <n v="1"/>
    <n v="88"/>
    <n v="5"/>
    <x v="0"/>
    <n v="9"/>
    <x v="2"/>
    <s v="Mumbai"/>
    <n v="10"/>
    <n v="841"/>
    <n v="12"/>
    <n v="6"/>
    <x v="0"/>
    <n v="0.61332689900000004"/>
    <s v="Air"/>
    <x v="0"/>
    <n v="340"/>
  </r>
  <r>
    <x v="1"/>
    <x v="39"/>
    <n v="19"/>
    <n v="26"/>
    <n v="176"/>
    <n v="1912"/>
    <x v="1"/>
    <n v="78"/>
    <n v="29"/>
    <n v="34"/>
    <n v="3"/>
    <x v="1"/>
    <n v="6"/>
    <x v="4"/>
    <s v="Kolkata"/>
    <n v="30"/>
    <n v="791"/>
    <n v="6"/>
    <n v="9"/>
    <x v="1"/>
    <n v="1.451972204"/>
    <s v="Air"/>
    <x v="0"/>
    <n v="654"/>
  </r>
  <r>
    <x v="1"/>
    <x v="40"/>
    <n v="81"/>
    <n v="97"/>
    <n v="933"/>
    <n v="5725"/>
    <x v="1"/>
    <n v="90"/>
    <n v="20"/>
    <n v="39"/>
    <n v="8"/>
    <x v="2"/>
    <n v="7"/>
    <x v="1"/>
    <s v="Kolkata"/>
    <n v="18"/>
    <n v="793"/>
    <n v="1"/>
    <n v="88"/>
    <x v="0"/>
    <n v="4.2132694309999996"/>
    <s v="Road"/>
    <x v="2"/>
    <n v="530"/>
  </r>
  <r>
    <x v="1"/>
    <x v="41"/>
    <n v="99"/>
    <n v="35"/>
    <n v="556"/>
    <n v="5521"/>
    <x v="1"/>
    <n v="64"/>
    <n v="19"/>
    <n v="38"/>
    <n v="8"/>
    <x v="0"/>
    <n v="6"/>
    <x v="3"/>
    <s v="Chennai"/>
    <n v="18"/>
    <n v="892"/>
    <n v="7"/>
    <n v="95"/>
    <x v="1"/>
    <n v="4.5302262000000003E-2"/>
    <s v="Sea"/>
    <x v="2"/>
    <n v="276"/>
  </r>
  <r>
    <x v="1"/>
    <x v="42"/>
    <n v="47"/>
    <n v="98"/>
    <n v="155"/>
    <n v="1840"/>
    <x v="1"/>
    <n v="22"/>
    <n v="27"/>
    <n v="57"/>
    <n v="4"/>
    <x v="2"/>
    <n v="8"/>
    <x v="2"/>
    <s v="Bangalore"/>
    <n v="26"/>
    <n v="179"/>
    <n v="7"/>
    <n v="96"/>
    <x v="1"/>
    <n v="4.9392552890000001"/>
    <s v="Road"/>
    <x v="2"/>
    <n v="636"/>
  </r>
  <r>
    <x v="0"/>
    <x v="43"/>
    <n v="12"/>
    <n v="6"/>
    <n v="598"/>
    <n v="5737"/>
    <x v="2"/>
    <n v="36"/>
    <n v="29"/>
    <n v="85"/>
    <n v="9"/>
    <x v="0"/>
    <n v="4"/>
    <x v="2"/>
    <s v="Mumbai"/>
    <n v="1"/>
    <n v="206"/>
    <n v="23"/>
    <n v="26"/>
    <x v="0"/>
    <n v="0.37230476800000001"/>
    <s v="Air"/>
    <x v="2"/>
    <n v="716"/>
  </r>
  <r>
    <x v="2"/>
    <x v="44"/>
    <n v="51"/>
    <n v="34"/>
    <n v="919"/>
    <n v="7152"/>
    <x v="1"/>
    <n v="13"/>
    <n v="19"/>
    <n v="72"/>
    <n v="6"/>
    <x v="2"/>
    <n v="8"/>
    <x v="4"/>
    <s v="Delhi"/>
    <n v="7"/>
    <n v="834"/>
    <n v="18"/>
    <n v="23"/>
    <x v="1"/>
    <n v="2.96262632"/>
    <s v="Rail"/>
    <x v="2"/>
    <n v="610"/>
  </r>
  <r>
    <x v="0"/>
    <x v="45"/>
    <n v="34"/>
    <n v="1"/>
    <n v="24"/>
    <n v="5268"/>
    <x v="3"/>
    <n v="93"/>
    <n v="7"/>
    <n v="52"/>
    <n v="6"/>
    <x v="0"/>
    <n v="5"/>
    <x v="4"/>
    <s v="Chennai"/>
    <n v="25"/>
    <n v="794"/>
    <n v="25"/>
    <n v="66"/>
    <x v="2"/>
    <n v="3.2196046119999999"/>
    <s v="Rail"/>
    <x v="2"/>
    <n v="495"/>
  </r>
  <r>
    <x v="0"/>
    <x v="46"/>
    <n v="27"/>
    <n v="75"/>
    <n v="859"/>
    <n v="2557"/>
    <x v="0"/>
    <n v="92"/>
    <n v="29"/>
    <n v="6"/>
    <n v="8"/>
    <x v="0"/>
    <n v="4"/>
    <x v="0"/>
    <s v="Chennai"/>
    <n v="18"/>
    <n v="870"/>
    <n v="23"/>
    <n v="77"/>
    <x v="0"/>
    <n v="3.6486105929999999"/>
    <s v="Road"/>
    <x v="0"/>
    <n v="380"/>
  </r>
  <r>
    <x v="1"/>
    <x v="47"/>
    <n v="96"/>
    <n v="93"/>
    <n v="910"/>
    <n v="7089"/>
    <x v="3"/>
    <n v="4"/>
    <n v="15"/>
    <n v="51"/>
    <n v="9"/>
    <x v="0"/>
    <n v="9"/>
    <x v="1"/>
    <s v="Kolkata"/>
    <n v="10"/>
    <n v="964"/>
    <n v="20"/>
    <n v="20"/>
    <x v="0"/>
    <n v="0.38057358699999999"/>
    <s v="Rail"/>
    <x v="2"/>
    <n v="582"/>
  </r>
  <r>
    <x v="0"/>
    <x v="48"/>
    <n v="76"/>
    <n v="28"/>
    <n v="29"/>
    <n v="7397"/>
    <x v="0"/>
    <n v="30"/>
    <n v="16"/>
    <n v="9"/>
    <n v="3"/>
    <x v="2"/>
    <n v="7"/>
    <x v="4"/>
    <s v="Mumbai"/>
    <n v="9"/>
    <n v="109"/>
    <n v="18"/>
    <n v="23"/>
    <x v="1"/>
    <n v="1.698112541"/>
    <s v="Rail"/>
    <x v="0"/>
    <n v="769"/>
  </r>
  <r>
    <x v="2"/>
    <x v="49"/>
    <n v="79"/>
    <n v="19"/>
    <n v="99"/>
    <n v="8002"/>
    <x v="2"/>
    <n v="97"/>
    <n v="24"/>
    <n v="9"/>
    <n v="6"/>
    <x v="2"/>
    <n v="3"/>
    <x v="2"/>
    <s v="Delhi"/>
    <n v="28"/>
    <n v="177"/>
    <n v="28"/>
    <n v="14"/>
    <x v="2"/>
    <n v="2.8258139849999999"/>
    <s v="Rail"/>
    <x v="2"/>
    <n v="337"/>
  </r>
  <r>
    <x v="2"/>
    <x v="50"/>
    <n v="14"/>
    <n v="91"/>
    <n v="633"/>
    <n v="5911"/>
    <x v="1"/>
    <n v="31"/>
    <n v="23"/>
    <n v="82"/>
    <n v="10"/>
    <x v="1"/>
    <n v="6"/>
    <x v="4"/>
    <s v="Delhi"/>
    <n v="20"/>
    <n v="306"/>
    <n v="21"/>
    <n v="45"/>
    <x v="1"/>
    <n v="4.7548008050000004"/>
    <s v="Rail"/>
    <x v="0"/>
    <n v="496"/>
  </r>
  <r>
    <x v="0"/>
    <x v="51"/>
    <n v="27"/>
    <n v="61"/>
    <n v="154"/>
    <n v="9866"/>
    <x v="3"/>
    <n v="100"/>
    <n v="4"/>
    <n v="52"/>
    <n v="1"/>
    <x v="1"/>
    <n v="5"/>
    <x v="2"/>
    <s v="Bangalore"/>
    <n v="18"/>
    <n v="673"/>
    <n v="28"/>
    <n v="14"/>
    <x v="0"/>
    <n v="1.772951172"/>
    <s v="Road"/>
    <x v="2"/>
    <n v="695"/>
  </r>
  <r>
    <x v="1"/>
    <x v="52"/>
    <n v="98"/>
    <n v="1"/>
    <n v="820"/>
    <n v="9436"/>
    <x v="3"/>
    <n v="64"/>
    <n v="11"/>
    <n v="11"/>
    <n v="1"/>
    <x v="0"/>
    <n v="9"/>
    <x v="1"/>
    <s v="Mumbai"/>
    <n v="10"/>
    <n v="727"/>
    <n v="27"/>
    <n v="9"/>
    <x v="0"/>
    <n v="2.1224716190000001"/>
    <s v="Air"/>
    <x v="1"/>
    <n v="603"/>
  </r>
  <r>
    <x v="1"/>
    <x v="53"/>
    <n v="30"/>
    <n v="93"/>
    <n v="242"/>
    <n v="8232"/>
    <x v="3"/>
    <n v="96"/>
    <n v="25"/>
    <n v="54"/>
    <n v="3"/>
    <x v="0"/>
    <n v="1"/>
    <x v="1"/>
    <s v="Delhi"/>
    <n v="1"/>
    <n v="631"/>
    <n v="17"/>
    <n v="83"/>
    <x v="0"/>
    <n v="1.4103475759999999"/>
    <s v="Air"/>
    <x v="0"/>
    <n v="751"/>
  </r>
  <r>
    <x v="0"/>
    <x v="54"/>
    <n v="31"/>
    <n v="11"/>
    <n v="622"/>
    <n v="6088"/>
    <x v="0"/>
    <n v="33"/>
    <n v="22"/>
    <n v="61"/>
    <n v="3"/>
    <x v="0"/>
    <n v="4"/>
    <x v="1"/>
    <s v="Kolkata"/>
    <n v="26"/>
    <n v="497"/>
    <n v="29"/>
    <n v="30"/>
    <x v="2"/>
    <n v="2.478771976"/>
    <s v="Road"/>
    <x v="0"/>
    <n v="814"/>
  </r>
  <r>
    <x v="0"/>
    <x v="55"/>
    <n v="80"/>
    <n v="16"/>
    <n v="701"/>
    <n v="2926"/>
    <x v="3"/>
    <n v="97"/>
    <n v="11"/>
    <n v="11"/>
    <n v="5"/>
    <x v="1"/>
    <n v="5"/>
    <x v="4"/>
    <s v="Delhi"/>
    <n v="27"/>
    <n v="918"/>
    <n v="5"/>
    <n v="30"/>
    <x v="1"/>
    <n v="4.5489196590000001"/>
    <s v="Sea"/>
    <x v="0"/>
    <n v="323"/>
  </r>
  <r>
    <x v="1"/>
    <x v="56"/>
    <n v="21"/>
    <n v="90"/>
    <n v="93"/>
    <n v="4767"/>
    <x v="0"/>
    <n v="25"/>
    <n v="23"/>
    <n v="83"/>
    <n v="5"/>
    <x v="2"/>
    <n v="2"/>
    <x v="1"/>
    <s v="Mumbai"/>
    <n v="24"/>
    <n v="826"/>
    <n v="28"/>
    <n v="13"/>
    <x v="2"/>
    <n v="1.173755495"/>
    <s v="Air"/>
    <x v="0"/>
    <n v="832"/>
  </r>
  <r>
    <x v="0"/>
    <x v="57"/>
    <n v="49"/>
    <n v="65"/>
    <n v="227"/>
    <n v="1606"/>
    <x v="2"/>
    <n v="5"/>
    <n v="18"/>
    <n v="51"/>
    <n v="1"/>
    <x v="0"/>
    <n v="9"/>
    <x v="4"/>
    <s v="Delhi"/>
    <n v="21"/>
    <n v="588"/>
    <n v="25"/>
    <n v="68"/>
    <x v="0"/>
    <n v="2.5111748299999999"/>
    <s v="Rail"/>
    <x v="2"/>
    <n v="482"/>
  </r>
  <r>
    <x v="1"/>
    <x v="58"/>
    <n v="60"/>
    <n v="81"/>
    <n v="896"/>
    <n v="2021"/>
    <x v="0"/>
    <n v="10"/>
    <n v="5"/>
    <n v="44"/>
    <n v="7"/>
    <x v="1"/>
    <n v="5"/>
    <x v="0"/>
    <s v="Delhi"/>
    <n v="18"/>
    <n v="396"/>
    <n v="7"/>
    <n v="65"/>
    <x v="1"/>
    <n v="1.7303747199999999"/>
    <s v="Road"/>
    <x v="0"/>
    <n v="110"/>
  </r>
  <r>
    <x v="2"/>
    <x v="59"/>
    <n v="64"/>
    <n v="30"/>
    <n v="484"/>
    <n v="1062"/>
    <x v="0"/>
    <n v="100"/>
    <n v="16"/>
    <n v="26"/>
    <n v="7"/>
    <x v="0"/>
    <n v="7"/>
    <x v="1"/>
    <s v="Kolkata"/>
    <n v="11"/>
    <n v="176"/>
    <n v="4"/>
    <n v="2"/>
    <x v="1"/>
    <n v="0.447194015"/>
    <s v="Air"/>
    <x v="2"/>
    <n v="313"/>
  </r>
  <r>
    <x v="1"/>
    <x v="60"/>
    <n v="17"/>
    <n v="16"/>
    <n v="380"/>
    <n v="8864"/>
    <x v="1"/>
    <n v="41"/>
    <n v="27"/>
    <n v="72"/>
    <n v="8"/>
    <x v="2"/>
    <n v="4"/>
    <x v="3"/>
    <s v="Mumbai"/>
    <n v="29"/>
    <n v="929"/>
    <n v="24"/>
    <n v="87"/>
    <x v="1"/>
    <n v="2.8530906169999999"/>
    <s v="Rail"/>
    <x v="2"/>
    <n v="430"/>
  </r>
  <r>
    <x v="0"/>
    <x v="61"/>
    <n v="52"/>
    <n v="23"/>
    <n v="117"/>
    <n v="6886"/>
    <x v="2"/>
    <n v="32"/>
    <n v="23"/>
    <n v="36"/>
    <n v="7"/>
    <x v="2"/>
    <n v="9"/>
    <x v="3"/>
    <s v="Kolkata"/>
    <n v="14"/>
    <n v="480"/>
    <n v="12"/>
    <n v="79"/>
    <x v="1"/>
    <n v="4.3674705380000001"/>
    <s v="Air"/>
    <x v="2"/>
    <n v="164"/>
  </r>
  <r>
    <x v="2"/>
    <x v="62"/>
    <n v="73"/>
    <n v="89"/>
    <n v="270"/>
    <n v="3900"/>
    <x v="2"/>
    <n v="86"/>
    <n v="2"/>
    <n v="40"/>
    <n v="7"/>
    <x v="2"/>
    <n v="7"/>
    <x v="4"/>
    <s v="Mumbai"/>
    <n v="13"/>
    <n v="751"/>
    <n v="14"/>
    <n v="21"/>
    <x v="2"/>
    <n v="1.8740014039999999"/>
    <s v="Sea"/>
    <x v="1"/>
    <n v="321"/>
  </r>
  <r>
    <x v="1"/>
    <x v="63"/>
    <n v="13"/>
    <n v="55"/>
    <n v="246"/>
    <n v="4257"/>
    <x v="0"/>
    <n v="54"/>
    <n v="19"/>
    <n v="10"/>
    <n v="4"/>
    <x v="1"/>
    <n v="2"/>
    <x v="0"/>
    <s v="Bangalore"/>
    <n v="18"/>
    <n v="736"/>
    <n v="10"/>
    <n v="20"/>
    <x v="0"/>
    <n v="3.6328432899999998"/>
    <s v="Sea"/>
    <x v="2"/>
    <n v="687"/>
  </r>
  <r>
    <x v="1"/>
    <x v="64"/>
    <n v="90"/>
    <n v="11"/>
    <n v="134"/>
    <n v="8459"/>
    <x v="1"/>
    <n v="73"/>
    <n v="27"/>
    <n v="75"/>
    <n v="6"/>
    <x v="2"/>
    <n v="5"/>
    <x v="1"/>
    <s v="Delhi"/>
    <n v="17"/>
    <n v="328"/>
    <n v="6"/>
    <n v="9"/>
    <x v="1"/>
    <n v="0.15948631499999999"/>
    <s v="Air"/>
    <x v="1"/>
    <n v="771"/>
  </r>
  <r>
    <x v="1"/>
    <x v="65"/>
    <n v="34"/>
    <n v="72"/>
    <n v="457"/>
    <n v="8355"/>
    <x v="3"/>
    <n v="57"/>
    <n v="24"/>
    <n v="54"/>
    <n v="8"/>
    <x v="2"/>
    <n v="7"/>
    <x v="2"/>
    <s v="Kolkata"/>
    <n v="16"/>
    <n v="358"/>
    <n v="21"/>
    <n v="2"/>
    <x v="1"/>
    <n v="4.9110959550000004"/>
    <s v="Rail"/>
    <x v="1"/>
    <n v="556"/>
  </r>
  <r>
    <x v="1"/>
    <x v="66"/>
    <n v="26"/>
    <n v="52"/>
    <n v="704"/>
    <n v="8368"/>
    <x v="1"/>
    <n v="13"/>
    <n v="17"/>
    <n v="19"/>
    <n v="8"/>
    <x v="1"/>
    <n v="2"/>
    <x v="2"/>
    <s v="Kolkata"/>
    <n v="24"/>
    <n v="867"/>
    <n v="28"/>
    <n v="42"/>
    <x v="1"/>
    <n v="3.4480632880000002"/>
    <s v="Road"/>
    <x v="2"/>
    <n v="394"/>
  </r>
  <r>
    <x v="1"/>
    <x v="67"/>
    <n v="88"/>
    <n v="16"/>
    <n v="513"/>
    <n v="9474"/>
    <x v="2"/>
    <n v="12"/>
    <n v="9"/>
    <n v="71"/>
    <n v="9"/>
    <x v="2"/>
    <n v="9"/>
    <x v="1"/>
    <s v="Mumbai"/>
    <n v="10"/>
    <n v="198"/>
    <n v="11"/>
    <n v="7"/>
    <x v="2"/>
    <n v="0.13195544400000001"/>
    <s v="Sea"/>
    <x v="1"/>
    <n v="169"/>
  </r>
  <r>
    <x v="0"/>
    <x v="68"/>
    <n v="38"/>
    <n v="29"/>
    <n v="163"/>
    <n v="3550"/>
    <x v="0"/>
    <n v="0"/>
    <n v="8"/>
    <n v="58"/>
    <n v="8"/>
    <x v="0"/>
    <n v="1"/>
    <x v="4"/>
    <s v="Bangalore"/>
    <n v="2"/>
    <n v="375"/>
    <n v="18"/>
    <n v="97"/>
    <x v="1"/>
    <n v="1.9834678720000001"/>
    <s v="Rail"/>
    <x v="2"/>
    <n v="300"/>
  </r>
  <r>
    <x v="1"/>
    <x v="69"/>
    <n v="55"/>
    <n v="62"/>
    <n v="511"/>
    <n v="1752"/>
    <x v="0"/>
    <n v="95"/>
    <n v="1"/>
    <n v="27"/>
    <n v="3"/>
    <x v="0"/>
    <n v="10"/>
    <x v="3"/>
    <s v="Kolkata"/>
    <n v="9"/>
    <n v="862"/>
    <n v="7"/>
    <n v="78"/>
    <x v="0"/>
    <n v="1.3623879889999999"/>
    <s v="Air"/>
    <x v="2"/>
    <n v="208"/>
  </r>
  <r>
    <x v="0"/>
    <x v="70"/>
    <n v="48"/>
    <n v="90"/>
    <n v="32"/>
    <n v="7015"/>
    <x v="1"/>
    <n v="10"/>
    <n v="12"/>
    <n v="22"/>
    <n v="4"/>
    <x v="0"/>
    <n v="6"/>
    <x v="1"/>
    <s v="Bangalore"/>
    <n v="22"/>
    <n v="775"/>
    <n v="16"/>
    <n v="11"/>
    <x v="2"/>
    <n v="1.8305755990000001"/>
    <s v="Road"/>
    <x v="1"/>
    <n v="183"/>
  </r>
  <r>
    <x v="2"/>
    <x v="71"/>
    <n v="6"/>
    <n v="14"/>
    <n v="637"/>
    <n v="8180"/>
    <x v="1"/>
    <n v="76"/>
    <n v="2"/>
    <n v="26"/>
    <n v="6"/>
    <x v="1"/>
    <n v="9"/>
    <x v="4"/>
    <s v="Bangalore"/>
    <n v="2"/>
    <n v="258"/>
    <n v="10"/>
    <n v="31"/>
    <x v="0"/>
    <n v="2.078750608"/>
    <s v="Road"/>
    <x v="2"/>
    <n v="405"/>
  </r>
  <r>
    <x v="2"/>
    <x v="72"/>
    <n v="90"/>
    <n v="88"/>
    <n v="478"/>
    <n v="2633"/>
    <x v="0"/>
    <n v="57"/>
    <n v="29"/>
    <n v="77"/>
    <n v="9"/>
    <x v="1"/>
    <n v="7"/>
    <x v="1"/>
    <s v="Bangalore"/>
    <n v="21"/>
    <n v="152"/>
    <n v="11"/>
    <n v="56"/>
    <x v="0"/>
    <n v="3.2133296069999999"/>
    <s v="Rail"/>
    <x v="0"/>
    <n v="678"/>
  </r>
  <r>
    <x v="2"/>
    <x v="73"/>
    <n v="84"/>
    <n v="41"/>
    <n v="375"/>
    <n v="7911"/>
    <x v="3"/>
    <n v="17"/>
    <n v="25"/>
    <n v="66"/>
    <n v="5"/>
    <x v="0"/>
    <n v="2"/>
    <x v="3"/>
    <s v="Chennai"/>
    <n v="13"/>
    <n v="444"/>
    <n v="4"/>
    <n v="47"/>
    <x v="1"/>
    <n v="4.6205460650000001"/>
    <s v="Road"/>
    <x v="2"/>
    <n v="866"/>
  </r>
  <r>
    <x v="0"/>
    <x v="74"/>
    <n v="3"/>
    <n v="64"/>
    <n v="904"/>
    <n v="5710"/>
    <x v="1"/>
    <n v="41"/>
    <n v="6"/>
    <n v="1"/>
    <n v="5"/>
    <x v="1"/>
    <n v="5"/>
    <x v="3"/>
    <s v="Delhi"/>
    <n v="1"/>
    <n v="919"/>
    <n v="9"/>
    <n v="81"/>
    <x v="1"/>
    <n v="0.39661272400000003"/>
    <s v="Rail"/>
    <x v="2"/>
    <n v="342"/>
  </r>
  <r>
    <x v="1"/>
    <x v="75"/>
    <n v="93"/>
    <n v="29"/>
    <n v="106"/>
    <n v="1889"/>
    <x v="0"/>
    <n v="16"/>
    <n v="20"/>
    <n v="56"/>
    <n v="10"/>
    <x v="2"/>
    <n v="2"/>
    <x v="1"/>
    <s v="Chennai"/>
    <n v="25"/>
    <n v="759"/>
    <n v="11"/>
    <n v="48"/>
    <x v="2"/>
    <n v="2.0300690889999999"/>
    <s v="Air"/>
    <x v="1"/>
    <n v="873"/>
  </r>
  <r>
    <x v="0"/>
    <x v="76"/>
    <n v="69"/>
    <n v="23"/>
    <n v="241"/>
    <n v="5328"/>
    <x v="3"/>
    <n v="38"/>
    <n v="1"/>
    <n v="22"/>
    <n v="10"/>
    <x v="1"/>
    <n v="7"/>
    <x v="4"/>
    <s v="Bangalore"/>
    <n v="25"/>
    <n v="985"/>
    <n v="24"/>
    <n v="64"/>
    <x v="0"/>
    <n v="2.1800374520000001"/>
    <s v="Rail"/>
    <x v="2"/>
    <n v="997"/>
  </r>
  <r>
    <x v="0"/>
    <x v="77"/>
    <n v="57"/>
    <n v="14"/>
    <n v="359"/>
    <n v="2484"/>
    <x v="2"/>
    <n v="96"/>
    <n v="28"/>
    <n v="57"/>
    <n v="4"/>
    <x v="0"/>
    <n v="7"/>
    <x v="1"/>
    <s v="Kolkata"/>
    <n v="26"/>
    <n v="334"/>
    <n v="5"/>
    <n v="43"/>
    <x v="2"/>
    <n v="3.0551418180000001"/>
    <s v="Road"/>
    <x v="0"/>
    <n v="853"/>
  </r>
  <r>
    <x v="0"/>
    <x v="78"/>
    <n v="6"/>
    <n v="50"/>
    <n v="946"/>
    <n v="1292"/>
    <x v="2"/>
    <n v="5"/>
    <n v="4"/>
    <n v="51"/>
    <n v="5"/>
    <x v="0"/>
    <n v="8"/>
    <x v="2"/>
    <s v="Mumbai"/>
    <n v="25"/>
    <n v="858"/>
    <n v="21"/>
    <n v="71"/>
    <x v="0"/>
    <n v="4.0968813319999997"/>
    <s v="Sea"/>
    <x v="1"/>
    <n v="324"/>
  </r>
  <r>
    <x v="0"/>
    <x v="79"/>
    <n v="57"/>
    <n v="56"/>
    <n v="198"/>
    <n v="7889"/>
    <x v="0"/>
    <n v="31"/>
    <n v="25"/>
    <n v="20"/>
    <n v="1"/>
    <x v="0"/>
    <n v="6"/>
    <x v="0"/>
    <s v="Bangalore"/>
    <n v="5"/>
    <n v="228"/>
    <n v="12"/>
    <n v="58"/>
    <x v="0"/>
    <n v="0.16587162699999999"/>
    <s v="Air"/>
    <x v="1"/>
    <n v="352"/>
  </r>
  <r>
    <x v="1"/>
    <x v="80"/>
    <n v="91"/>
    <n v="75"/>
    <n v="872"/>
    <n v="8652"/>
    <x v="2"/>
    <n v="39"/>
    <n v="14"/>
    <n v="41"/>
    <n v="2"/>
    <x v="2"/>
    <n v="3"/>
    <x v="0"/>
    <s v="Chennai"/>
    <n v="8"/>
    <n v="202"/>
    <n v="5"/>
    <n v="77"/>
    <x v="1"/>
    <n v="2.849662199"/>
    <s v="Sea"/>
    <x v="0"/>
    <n v="788"/>
  </r>
  <r>
    <x v="0"/>
    <x v="81"/>
    <n v="73"/>
    <n v="9"/>
    <n v="774"/>
    <n v="4384"/>
    <x v="2"/>
    <n v="48"/>
    <n v="6"/>
    <n v="8"/>
    <n v="5"/>
    <x v="0"/>
    <n v="4"/>
    <x v="0"/>
    <s v="Delhi"/>
    <n v="28"/>
    <n v="698"/>
    <n v="1"/>
    <n v="20"/>
    <x v="0"/>
    <n v="2.5475471220000001"/>
    <s v="Rail"/>
    <x v="0"/>
    <n v="277"/>
  </r>
  <r>
    <x v="1"/>
    <x v="82"/>
    <n v="17"/>
    <n v="13"/>
    <n v="336"/>
    <n v="2943"/>
    <x v="2"/>
    <n v="42"/>
    <n v="19"/>
    <n v="72"/>
    <n v="1"/>
    <x v="1"/>
    <n v="5"/>
    <x v="4"/>
    <s v="Mumbai"/>
    <n v="6"/>
    <n v="955"/>
    <n v="26"/>
    <n v="4"/>
    <x v="0"/>
    <n v="4.1378770490000001"/>
    <s v="Road"/>
    <x v="1"/>
    <n v="590"/>
  </r>
  <r>
    <x v="0"/>
    <x v="83"/>
    <n v="69"/>
    <n v="82"/>
    <n v="663"/>
    <n v="2412"/>
    <x v="2"/>
    <n v="65"/>
    <n v="24"/>
    <n v="7"/>
    <n v="8"/>
    <x v="0"/>
    <n v="5"/>
    <x v="1"/>
    <s v="Bangalore"/>
    <n v="20"/>
    <n v="443"/>
    <n v="5"/>
    <n v="98"/>
    <x v="1"/>
    <n v="0.77300613399999996"/>
    <s v="Road"/>
    <x v="2"/>
    <n v="683"/>
  </r>
  <r>
    <x v="0"/>
    <x v="84"/>
    <n v="89"/>
    <n v="99"/>
    <n v="618"/>
    <n v="2048"/>
    <x v="2"/>
    <n v="73"/>
    <n v="26"/>
    <n v="80"/>
    <n v="10"/>
    <x v="1"/>
    <n v="8"/>
    <x v="2"/>
    <s v="Chennai"/>
    <n v="24"/>
    <n v="589"/>
    <n v="22"/>
    <n v="34"/>
    <x v="2"/>
    <n v="4.8434565770000004"/>
    <s v="Air"/>
    <x v="0"/>
    <n v="465"/>
  </r>
  <r>
    <x v="2"/>
    <x v="85"/>
    <n v="77"/>
    <n v="83"/>
    <n v="25"/>
    <n v="8685"/>
    <x v="1"/>
    <n v="15"/>
    <n v="18"/>
    <n v="66"/>
    <n v="2"/>
    <x v="2"/>
    <n v="8"/>
    <x v="2"/>
    <s v="Chennai"/>
    <n v="4"/>
    <n v="211"/>
    <n v="2"/>
    <n v="70"/>
    <x v="1"/>
    <n v="1.3744289999999999"/>
    <s v="Road"/>
    <x v="0"/>
    <n v="843"/>
  </r>
  <r>
    <x v="1"/>
    <x v="86"/>
    <n v="20"/>
    <n v="18"/>
    <n v="223"/>
    <n v="1230"/>
    <x v="2"/>
    <n v="32"/>
    <n v="14"/>
    <n v="22"/>
    <n v="6"/>
    <x v="0"/>
    <n v="1"/>
    <x v="1"/>
    <s v="Mumbai"/>
    <n v="4"/>
    <n v="569"/>
    <n v="18"/>
    <n v="75"/>
    <x v="2"/>
    <n v="2.051512931"/>
    <s v="Rail"/>
    <x v="2"/>
    <n v="264"/>
  </r>
  <r>
    <x v="0"/>
    <x v="87"/>
    <n v="80"/>
    <n v="24"/>
    <n v="79"/>
    <n v="5134"/>
    <x v="3"/>
    <n v="5"/>
    <n v="7"/>
    <n v="55"/>
    <n v="10"/>
    <x v="1"/>
    <n v="7"/>
    <x v="0"/>
    <s v="Chennai"/>
    <n v="27"/>
    <n v="523"/>
    <n v="17"/>
    <n v="29"/>
    <x v="1"/>
    <n v="3.693737788"/>
    <s v="Sea"/>
    <x v="0"/>
    <n v="879"/>
  </r>
  <r>
    <x v="2"/>
    <x v="88"/>
    <n v="75"/>
    <n v="58"/>
    <n v="737"/>
    <n v="9445"/>
    <x v="3"/>
    <n v="60"/>
    <n v="18"/>
    <n v="85"/>
    <n v="7"/>
    <x v="1"/>
    <n v="4"/>
    <x v="4"/>
    <s v="Mumbai"/>
    <n v="21"/>
    <n v="953"/>
    <n v="11"/>
    <n v="68"/>
    <x v="0"/>
    <n v="0.72220440200000002"/>
    <s v="Sea"/>
    <x v="2"/>
    <n v="104"/>
  </r>
  <r>
    <x v="2"/>
    <x v="89"/>
    <n v="98"/>
    <n v="10"/>
    <n v="134"/>
    <n v="5925"/>
    <x v="2"/>
    <n v="90"/>
    <n v="1"/>
    <n v="27"/>
    <n v="8"/>
    <x v="0"/>
    <n v="10"/>
    <x v="1"/>
    <s v="Kolkata"/>
    <n v="23"/>
    <n v="370"/>
    <n v="11"/>
    <n v="47"/>
    <x v="0"/>
    <n v="1.9076657340000001"/>
    <s v="Rail"/>
    <x v="0"/>
    <n v="517"/>
  </r>
  <r>
    <x v="1"/>
    <x v="90"/>
    <n v="14"/>
    <n v="56"/>
    <n v="320"/>
    <n v="9593"/>
    <x v="0"/>
    <n v="66"/>
    <n v="18"/>
    <n v="96"/>
    <n v="7"/>
    <x v="0"/>
    <n v="8"/>
    <x v="0"/>
    <s v="Bangalore"/>
    <n v="8"/>
    <n v="585"/>
    <n v="8"/>
    <n v="86"/>
    <x v="2"/>
    <n v="1.2193822240000001"/>
    <s v="Rail"/>
    <x v="0"/>
    <n v="990"/>
  </r>
  <r>
    <x v="2"/>
    <x v="91"/>
    <n v="62"/>
    <n v="90"/>
    <n v="916"/>
    <n v="1935"/>
    <x v="3"/>
    <n v="98"/>
    <n v="22"/>
    <n v="85"/>
    <n v="7"/>
    <x v="0"/>
    <n v="7"/>
    <x v="3"/>
    <s v="Delhi"/>
    <n v="5"/>
    <n v="207"/>
    <n v="28"/>
    <n v="40"/>
    <x v="0"/>
    <n v="0.62600185799999997"/>
    <s v="Rail"/>
    <x v="0"/>
    <n v="997"/>
  </r>
  <r>
    <x v="2"/>
    <x v="92"/>
    <n v="48"/>
    <n v="44"/>
    <n v="276"/>
    <n v="2100"/>
    <x v="3"/>
    <n v="90"/>
    <n v="25"/>
    <n v="10"/>
    <n v="8"/>
    <x v="0"/>
    <n v="4"/>
    <x v="4"/>
    <s v="Mumbai"/>
    <n v="4"/>
    <n v="671"/>
    <n v="29"/>
    <n v="63"/>
    <x v="2"/>
    <n v="0.33343182500000002"/>
    <s v="Rail"/>
    <x v="0"/>
    <n v="230"/>
  </r>
  <r>
    <x v="0"/>
    <x v="93"/>
    <n v="69"/>
    <n v="88"/>
    <n v="114"/>
    <n v="4531"/>
    <x v="2"/>
    <n v="63"/>
    <n v="17"/>
    <n v="66"/>
    <n v="1"/>
    <x v="2"/>
    <n v="7"/>
    <x v="3"/>
    <s v="Chennai"/>
    <n v="21"/>
    <n v="824"/>
    <n v="20"/>
    <n v="36"/>
    <x v="1"/>
    <n v="4.165781795"/>
    <s v="Air"/>
    <x v="2"/>
    <n v="824"/>
  </r>
  <r>
    <x v="2"/>
    <x v="94"/>
    <n v="3"/>
    <n v="97"/>
    <n v="987"/>
    <n v="7888"/>
    <x v="2"/>
    <n v="77"/>
    <n v="26"/>
    <n v="72"/>
    <n v="9"/>
    <x v="0"/>
    <n v="7"/>
    <x v="4"/>
    <s v="Delhi"/>
    <n v="12"/>
    <n v="908"/>
    <n v="14"/>
    <n v="60"/>
    <x v="2"/>
    <n v="1.463607498"/>
    <s v="Rail"/>
    <x v="0"/>
    <n v="847"/>
  </r>
  <r>
    <x v="0"/>
    <x v="95"/>
    <n v="78"/>
    <n v="65"/>
    <n v="672"/>
    <n v="7386"/>
    <x v="2"/>
    <n v="15"/>
    <n v="14"/>
    <n v="26"/>
    <n v="9"/>
    <x v="0"/>
    <n v="9"/>
    <x v="3"/>
    <s v="Mumbai"/>
    <n v="18"/>
    <n v="450"/>
    <n v="26"/>
    <n v="59"/>
    <x v="0"/>
    <n v="1.2108821299999999"/>
    <s v="Air"/>
    <x v="2"/>
    <n v="779"/>
  </r>
  <r>
    <x v="2"/>
    <x v="96"/>
    <n v="24"/>
    <n v="29"/>
    <n v="324"/>
    <n v="7698"/>
    <x v="0"/>
    <n v="67"/>
    <n v="2"/>
    <n v="32"/>
    <n v="3"/>
    <x v="2"/>
    <n v="5"/>
    <x v="0"/>
    <s v="Mumbai"/>
    <n v="28"/>
    <n v="648"/>
    <n v="28"/>
    <n v="18"/>
    <x v="0"/>
    <n v="3.8720476810000002"/>
    <s v="Road"/>
    <x v="2"/>
    <n v="189"/>
  </r>
  <r>
    <x v="0"/>
    <x v="97"/>
    <n v="4"/>
    <n v="56"/>
    <n v="62"/>
    <n v="4371"/>
    <x v="3"/>
    <n v="46"/>
    <n v="19"/>
    <n v="4"/>
    <n v="9"/>
    <x v="1"/>
    <n v="8"/>
    <x v="3"/>
    <s v="Mumbai"/>
    <n v="10"/>
    <n v="535"/>
    <n v="13"/>
    <n v="66"/>
    <x v="1"/>
    <n v="3.376237835"/>
    <s v="Road"/>
    <x v="2"/>
    <n v="540"/>
  </r>
  <r>
    <x v="1"/>
    <x v="98"/>
    <n v="20"/>
    <n v="43"/>
    <n v="913"/>
    <n v="8526"/>
    <x v="1"/>
    <n v="53"/>
    <n v="1"/>
    <n v="27"/>
    <n v="7"/>
    <x v="0"/>
    <n v="1"/>
    <x v="2"/>
    <s v="Chennai"/>
    <n v="28"/>
    <n v="581"/>
    <n v="9"/>
    <n v="6"/>
    <x v="0"/>
    <n v="2.9081221689999999"/>
    <s v="Rail"/>
    <x v="2"/>
    <n v="882"/>
  </r>
  <r>
    <x v="0"/>
    <x v="99"/>
    <n v="69"/>
    <n v="17"/>
    <n v="627"/>
    <n v="9185"/>
    <x v="2"/>
    <n v="55"/>
    <n v="8"/>
    <n v="59"/>
    <n v="6"/>
    <x v="0"/>
    <n v="1"/>
    <x v="4"/>
    <s v="Chennai"/>
    <n v="29"/>
    <n v="921"/>
    <n v="2"/>
    <n v="38"/>
    <x v="1"/>
    <n v="0.34602729100000001"/>
    <s v="Rail"/>
    <x v="0"/>
    <n v="2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DD094D-CE31-4061-B653-FAF252F86516}"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ku's">
  <location ref="A200:B206" firstHeaderRow="1" firstDataRow="1" firstDataCol="1"/>
  <pivotFields count="24">
    <pivotField showAll="0">
      <items count="4">
        <item h="1" x="2"/>
        <item x="0"/>
        <item h="1" x="1"/>
        <item t="default"/>
      </items>
    </pivotField>
    <pivotField axis="axisRow" showAll="0" measureFilter="1" sortType="a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6">
    <i>
      <x v="80"/>
    </i>
    <i>
      <x v="99"/>
    </i>
    <i>
      <x v="17"/>
    </i>
    <i>
      <x v="4"/>
    </i>
    <i>
      <x v="19"/>
    </i>
    <i t="grand">
      <x/>
    </i>
  </rowItems>
  <colItems count="1">
    <i/>
  </colItems>
  <dataFields count="1">
    <dataField name=" Manufacturing lead time" fld="17" baseField="0" baseItem="0"/>
  </dataFields>
  <chartFormats count="3">
    <chartFormat chart="5"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CD595E-949B-43C1-9CFE-73CB682C5497}" name="total_units_sold_kpi"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Category">
  <location ref="H27:H28" firstHeaderRow="1" firstDataRow="1" firstDataCol="0"/>
  <pivotFields count="24">
    <pivotField showAll="0">
      <items count="4">
        <item h="1" x="2"/>
        <item x="0"/>
        <item h="1"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Number of products sold" fld="4" baseField="0" baseItem="0"/>
  </dataFields>
  <formats count="1">
    <format dxfId="7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6B0A24-9EE2-4571-899C-70782EF9DA36}" name="total_revenue_kpi"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Category">
  <location ref="H24:H25" firstHeaderRow="1" firstDataRow="1" firstDataCol="0"/>
  <pivotFields count="24">
    <pivotField showAll="0">
      <items count="4">
        <item h="1" x="2"/>
        <item x="0"/>
        <item h="1"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Revenue generated" fld="5" baseField="0" baseItem="0"/>
  </dataFields>
  <formats count="1">
    <format dxfId="7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744426-343F-4A2B-8A1E-36C2F4671205}" name="PivotTable1"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Category">
  <location ref="H20:H21" firstHeaderRow="1" firstDataRow="1" firstDataCol="0"/>
  <pivotFields count="24">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upplier Lead Time" fld="15" subtotal="average" baseField="0" baseItem="0"/>
  </dataFields>
  <formats count="1">
    <format dxfId="7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D798FD-652B-449A-B4C9-954ECE83D830}"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Product ID">
  <location ref="A61:B67" firstHeaderRow="1" firstDataRow="1" firstDataCol="1"/>
  <pivotFields count="24">
    <pivotField showAll="0">
      <items count="4">
        <item h="1" x="2"/>
        <item x="0"/>
        <item h="1" x="1"/>
        <item t="default"/>
      </items>
    </pivotField>
    <pivotField axis="axisRow" showAll="0" measureFilter="1" sortType="ascending">
      <items count="101">
        <item x="99"/>
        <item x="98"/>
        <item x="97"/>
        <item x="96"/>
        <item x="95"/>
        <item x="94"/>
        <item x="93"/>
        <item x="92"/>
        <item x="91"/>
        <item x="90"/>
        <item x="9"/>
        <item x="89"/>
        <item x="88"/>
        <item x="87"/>
        <item x="86"/>
        <item x="85"/>
        <item x="84"/>
        <item x="83"/>
        <item x="82"/>
        <item x="81"/>
        <item x="80"/>
        <item x="8"/>
        <item x="79"/>
        <item x="78"/>
        <item x="77"/>
        <item x="76"/>
        <item x="75"/>
        <item x="74"/>
        <item x="73"/>
        <item x="72"/>
        <item x="71"/>
        <item x="70"/>
        <item x="7"/>
        <item x="69"/>
        <item x="68"/>
        <item x="67"/>
        <item x="66"/>
        <item x="65"/>
        <item x="64"/>
        <item x="63"/>
        <item x="62"/>
        <item x="61"/>
        <item x="60"/>
        <item x="6"/>
        <item x="59"/>
        <item x="58"/>
        <item x="57"/>
        <item x="56"/>
        <item x="55"/>
        <item x="54"/>
        <item x="53"/>
        <item x="52"/>
        <item x="51"/>
        <item x="50"/>
        <item x="5"/>
        <item x="49"/>
        <item x="48"/>
        <item x="47"/>
        <item x="46"/>
        <item x="45"/>
        <item x="44"/>
        <item x="43"/>
        <item x="42"/>
        <item x="41"/>
        <item x="40"/>
        <item x="4"/>
        <item x="39"/>
        <item x="38"/>
        <item x="37"/>
        <item x="36"/>
        <item x="35"/>
        <item x="34"/>
        <item x="33"/>
        <item x="32"/>
        <item x="31"/>
        <item x="30"/>
        <item x="3"/>
        <item x="29"/>
        <item x="28"/>
        <item x="27"/>
        <item x="26"/>
        <item x="25"/>
        <item x="24"/>
        <item x="23"/>
        <item x="22"/>
        <item x="21"/>
        <item x="20"/>
        <item x="2"/>
        <item x="19"/>
        <item x="18"/>
        <item x="17"/>
        <item x="16"/>
        <item x="15"/>
        <item x="14"/>
        <item x="13"/>
        <item x="12"/>
        <item x="11"/>
        <item x="10"/>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82"/>
    </i>
    <i>
      <x/>
    </i>
    <i>
      <x v="89"/>
    </i>
    <i>
      <x v="87"/>
    </i>
    <i>
      <x v="52"/>
    </i>
    <i t="grand">
      <x/>
    </i>
  </rowItems>
  <colItems count="1">
    <i/>
  </colItems>
  <dataFields count="1">
    <dataField name="Sum of Revenue generated" fld="5" baseField="0" baseItem="0"/>
  </dataFields>
  <chartFormats count="3">
    <chartFormat chart="12" format="8" series="1">
      <pivotArea type="data" outline="0" fieldPosition="0">
        <references count="1">
          <reference field="4294967294" count="1" selected="0">
            <x v="0"/>
          </reference>
        </references>
      </pivotArea>
    </chartFormat>
    <chartFormat chart="16" format="10"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AD1B9E-322B-465C-A504-E7512718D2B3}" name="top_5_skus_by_qt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roduct ID">
  <location ref="A23:B29" firstHeaderRow="1" firstDataRow="1" firstDataCol="1"/>
  <pivotFields count="24">
    <pivotField showAll="0">
      <items count="4">
        <item h="1" x="2"/>
        <item x="0"/>
        <item h="1" x="1"/>
        <item t="default"/>
      </items>
    </pivotField>
    <pivotField axis="axisRow" showAll="0" measureFilter="1" sortType="ascending">
      <items count="101">
        <item x="99"/>
        <item x="98"/>
        <item x="97"/>
        <item x="96"/>
        <item x="95"/>
        <item x="94"/>
        <item x="93"/>
        <item x="92"/>
        <item x="91"/>
        <item x="90"/>
        <item x="9"/>
        <item x="89"/>
        <item x="88"/>
        <item x="87"/>
        <item x="86"/>
        <item x="85"/>
        <item x="84"/>
        <item x="83"/>
        <item x="82"/>
        <item x="81"/>
        <item x="80"/>
        <item x="8"/>
        <item x="79"/>
        <item x="78"/>
        <item x="77"/>
        <item x="76"/>
        <item x="75"/>
        <item x="74"/>
        <item x="73"/>
        <item x="72"/>
        <item x="71"/>
        <item x="70"/>
        <item x="7"/>
        <item x="69"/>
        <item x="68"/>
        <item x="67"/>
        <item x="66"/>
        <item x="65"/>
        <item x="64"/>
        <item x="63"/>
        <item x="62"/>
        <item x="61"/>
        <item x="60"/>
        <item x="6"/>
        <item x="59"/>
        <item x="58"/>
        <item x="57"/>
        <item x="56"/>
        <item x="55"/>
        <item x="54"/>
        <item x="53"/>
        <item x="52"/>
        <item x="51"/>
        <item x="50"/>
        <item x="5"/>
        <item x="49"/>
        <item x="48"/>
        <item x="47"/>
        <item x="46"/>
        <item x="45"/>
        <item x="44"/>
        <item x="43"/>
        <item x="42"/>
        <item x="41"/>
        <item x="40"/>
        <item x="4"/>
        <item x="39"/>
        <item x="38"/>
        <item x="37"/>
        <item x="36"/>
        <item x="35"/>
        <item x="34"/>
        <item x="33"/>
        <item x="32"/>
        <item x="31"/>
        <item x="30"/>
        <item x="3"/>
        <item x="29"/>
        <item x="28"/>
        <item x="27"/>
        <item x="26"/>
        <item x="25"/>
        <item x="24"/>
        <item x="23"/>
        <item x="22"/>
        <item x="21"/>
        <item x="20"/>
        <item x="2"/>
        <item x="19"/>
        <item x="18"/>
        <item x="17"/>
        <item x="16"/>
        <item x="15"/>
        <item x="14"/>
        <item x="13"/>
        <item x="12"/>
        <item x="11"/>
        <item x="10"/>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99"/>
    </i>
    <i>
      <x v="58"/>
    </i>
    <i>
      <x v="84"/>
    </i>
    <i>
      <x v="27"/>
    </i>
    <i>
      <x v="23"/>
    </i>
    <i t="grand">
      <x/>
    </i>
  </rowItems>
  <colItems count="1">
    <i/>
  </colItems>
  <dataFields count="1">
    <dataField name="Total number of products sold" fld="4" baseField="0" baseItem="0"/>
  </dataFields>
  <chartFormats count="2">
    <chartFormat chart="9" format="8"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877187-2501-4B58-9987-7D928BD65FA2}" name="PivotTable20"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Category">
  <location ref="H13:H14" firstHeaderRow="1" firstDataRow="1" firstDataCol="0"/>
  <pivotFields count="24">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hipping costs" fld="12" subtotal="average" baseField="0" baseItem="0"/>
  </dataFields>
  <formats count="1">
    <format dxfId="7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E88293-A0DD-4FD5-BFE7-E8A06514A679}" name="PivotTable19"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Category">
  <location ref="H9:H10" firstHeaderRow="1" firstDataRow="1" firstDataCol="0"/>
  <pivotFields count="24">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hipping times" fld="10" subtotal="average" baseField="0" baseItem="0"/>
  </dataFields>
  <formats count="1">
    <format dxfId="7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BC7BAC-74E2-4562-A806-0D533BF77B03}" name="PivotTable13"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Category">
  <location ref="H2:H3" firstHeaderRow="1" firstDataRow="1" firstDataCol="0"/>
  <pivotFields count="24">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Manufacturing lead time" fld="17" subtotal="average" baseField="0" baseItem="0" numFmtId="1"/>
  </dataFields>
  <formats count="1">
    <format dxfId="7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3FA400-6AA5-4045-9594-B36B79A516D2}" name="no_of_products"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Category">
  <location ref="A5:B9" firstHeaderRow="1" firstDataRow="1" firstDataCol="1"/>
  <pivotFields count="24">
    <pivotField axis="axisRow"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No. of Products" fld="1" subtotal="count" baseField="0" baseItem="0"/>
  </dataFields>
  <chartFormats count="2">
    <chartFormat chart="5" format="4"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91FECA-9DD4-44A5-8D84-0236C51D06B8}" name="revenue_by_categor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Category">
  <location ref="A52:B56" firstHeaderRow="1" firstDataRow="1" firstDataCol="1"/>
  <pivotFields count="24">
    <pivotField axis="axisRow" showAll="0">
      <items count="4">
        <item x="2"/>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Total Revenue" fld="5" baseField="0" baseItem="0"/>
  </dataFields>
  <chartFormats count="4">
    <chartFormat chart="11" format="29" series="1">
      <pivotArea type="data" outline="0" fieldPosition="0">
        <references count="1">
          <reference field="4294967294" count="1" selected="0">
            <x v="0"/>
          </reference>
        </references>
      </pivotArea>
    </chartFormat>
    <chartFormat chart="11" format="30">
      <pivotArea type="data" outline="0" fieldPosition="0">
        <references count="2">
          <reference field="4294967294" count="1" selected="0">
            <x v="0"/>
          </reference>
          <reference field="0" count="1" selected="0">
            <x v="0"/>
          </reference>
        </references>
      </pivotArea>
    </chartFormat>
    <chartFormat chart="11" format="31">
      <pivotArea type="data" outline="0" fieldPosition="0">
        <references count="2">
          <reference field="4294967294" count="1" selected="0">
            <x v="0"/>
          </reference>
          <reference field="0" count="1" selected="0">
            <x v="1"/>
          </reference>
        </references>
      </pivotArea>
    </chartFormat>
    <chartFormat chart="11" format="32">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D6FFDD-2CF5-48A7-86AA-65C7CD3229E3}" name="PivotTable1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Product ID">
  <location ref="A115:B121" firstHeaderRow="1" firstDataRow="1" firstDataCol="1"/>
  <pivotFields count="24">
    <pivotField showAll="0">
      <items count="4">
        <item h="1" x="2"/>
        <item x="0"/>
        <item h="1" x="1"/>
        <item t="default"/>
      </items>
    </pivotField>
    <pivotField axis="axisRow" showAll="0" measureFilter="1" sortType="ascending">
      <items count="101">
        <item x="99"/>
        <item x="98"/>
        <item x="97"/>
        <item x="96"/>
        <item x="95"/>
        <item x="94"/>
        <item x="93"/>
        <item x="92"/>
        <item x="91"/>
        <item x="90"/>
        <item x="9"/>
        <item x="89"/>
        <item x="88"/>
        <item x="87"/>
        <item x="86"/>
        <item x="85"/>
        <item x="84"/>
        <item x="83"/>
        <item x="82"/>
        <item x="81"/>
        <item x="80"/>
        <item x="8"/>
        <item x="79"/>
        <item x="78"/>
        <item x="77"/>
        <item x="76"/>
        <item x="75"/>
        <item x="74"/>
        <item x="73"/>
        <item x="72"/>
        <item x="71"/>
        <item x="70"/>
        <item x="7"/>
        <item x="69"/>
        <item x="68"/>
        <item x="67"/>
        <item x="66"/>
        <item x="65"/>
        <item x="64"/>
        <item x="63"/>
        <item x="62"/>
        <item x="61"/>
        <item x="60"/>
        <item x="6"/>
        <item x="59"/>
        <item x="58"/>
        <item x="57"/>
        <item x="56"/>
        <item x="55"/>
        <item x="54"/>
        <item x="53"/>
        <item x="52"/>
        <item x="51"/>
        <item x="50"/>
        <item x="5"/>
        <item x="49"/>
        <item x="48"/>
        <item x="47"/>
        <item x="46"/>
        <item x="45"/>
        <item x="44"/>
        <item x="43"/>
        <item x="42"/>
        <item x="41"/>
        <item x="40"/>
        <item x="4"/>
        <item x="39"/>
        <item x="38"/>
        <item x="37"/>
        <item x="36"/>
        <item x="35"/>
        <item x="34"/>
        <item x="33"/>
        <item x="32"/>
        <item x="31"/>
        <item x="30"/>
        <item x="3"/>
        <item x="29"/>
        <item x="28"/>
        <item x="27"/>
        <item x="26"/>
        <item x="25"/>
        <item x="24"/>
        <item x="23"/>
        <item x="22"/>
        <item x="21"/>
        <item x="20"/>
        <item x="2"/>
        <item x="19"/>
        <item x="18"/>
        <item x="17"/>
        <item x="16"/>
        <item x="15"/>
        <item x="14"/>
        <item x="13"/>
        <item x="12"/>
        <item x="11"/>
        <item x="10"/>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6">
    <i>
      <x v="52"/>
    </i>
    <i>
      <x v="84"/>
    </i>
    <i>
      <x v="49"/>
    </i>
    <i>
      <x v="99"/>
    </i>
    <i>
      <x v="75"/>
    </i>
    <i t="grand">
      <x/>
    </i>
  </rowItems>
  <colItems count="1">
    <i/>
  </colItems>
  <dataFields count="1">
    <dataField name=" Manufacturing lead time" fld="17" baseField="0" baseItem="0"/>
  </dataFields>
  <chartFormats count="1">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22F577-BDD7-43BC-93A8-A848C2744FAF}" name="PivotTable10"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ID">
  <location ref="A94:B100" firstHeaderRow="1" firstDataRow="1" firstDataCol="1"/>
  <pivotFields count="24">
    <pivotField showAll="0">
      <items count="4">
        <item h="1" x="2"/>
        <item x="0"/>
        <item h="1" x="1"/>
        <item t="default"/>
      </items>
    </pivotField>
    <pivotField axis="axisRow" showAll="0" measureFilter="1" sortType="ascending">
      <items count="101">
        <item x="99"/>
        <item x="98"/>
        <item x="97"/>
        <item x="96"/>
        <item x="95"/>
        <item x="94"/>
        <item x="93"/>
        <item x="92"/>
        <item x="91"/>
        <item x="90"/>
        <item x="9"/>
        <item x="89"/>
        <item x="88"/>
        <item x="87"/>
        <item x="86"/>
        <item x="85"/>
        <item x="84"/>
        <item x="83"/>
        <item x="82"/>
        <item x="81"/>
        <item x="80"/>
        <item x="8"/>
        <item x="79"/>
        <item x="78"/>
        <item x="77"/>
        <item x="76"/>
        <item x="75"/>
        <item x="74"/>
        <item x="73"/>
        <item x="72"/>
        <item x="71"/>
        <item x="70"/>
        <item x="7"/>
        <item x="69"/>
        <item x="68"/>
        <item x="67"/>
        <item x="66"/>
        <item x="65"/>
        <item x="64"/>
        <item x="63"/>
        <item x="62"/>
        <item x="61"/>
        <item x="60"/>
        <item x="6"/>
        <item x="59"/>
        <item x="58"/>
        <item x="57"/>
        <item x="56"/>
        <item x="55"/>
        <item x="54"/>
        <item x="53"/>
        <item x="52"/>
        <item x="51"/>
        <item x="50"/>
        <item x="5"/>
        <item x="49"/>
        <item x="48"/>
        <item x="47"/>
        <item x="46"/>
        <item x="45"/>
        <item x="44"/>
        <item x="43"/>
        <item x="42"/>
        <item x="41"/>
        <item x="40"/>
        <item x="4"/>
        <item x="39"/>
        <item x="38"/>
        <item x="37"/>
        <item x="36"/>
        <item x="35"/>
        <item x="34"/>
        <item x="33"/>
        <item x="32"/>
        <item x="31"/>
        <item x="30"/>
        <item x="3"/>
        <item x="29"/>
        <item x="28"/>
        <item x="27"/>
        <item x="26"/>
        <item x="25"/>
        <item x="24"/>
        <item x="23"/>
        <item x="22"/>
        <item x="21"/>
        <item x="20"/>
        <item x="2"/>
        <item x="19"/>
        <item x="18"/>
        <item x="17"/>
        <item x="16"/>
        <item x="15"/>
        <item x="14"/>
        <item x="13"/>
        <item x="12"/>
        <item x="11"/>
        <item x="10"/>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6">
    <i>
      <x v="54"/>
    </i>
    <i>
      <x v="56"/>
    </i>
    <i>
      <x v="80"/>
    </i>
    <i>
      <x v="61"/>
    </i>
    <i>
      <x v="99"/>
    </i>
    <i t="grand">
      <x/>
    </i>
  </rowItems>
  <colItems count="1">
    <i/>
  </colItems>
  <dataFields count="1">
    <dataField name="Sum of Production volumes" fld="16" baseField="0" baseItem="0"/>
  </dataFields>
  <chartFormats count="1">
    <chartFormat chart="1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2F0E24-4BA0-4D5E-BF8C-7CB815B1EB8F}" name="PivotTable7"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Supplier Name">
  <location ref="A152:B157" firstHeaderRow="1" firstDataRow="1" firstDataCol="1"/>
  <pivotFields count="24">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4"/>
        <item x="0"/>
        <item x="3"/>
        <item x="2"/>
        <item t="default"/>
      </items>
    </pivotField>
    <pivotField showAll="0"/>
    <pivotField showAll="0"/>
    <pivotField showAll="0"/>
    <pivotField showAll="0"/>
    <pivotField dataField="1" showAll="0"/>
    <pivotField showAll="0"/>
    <pivotField showAll="0"/>
    <pivotField showAll="0"/>
    <pivotField showAll="0"/>
    <pivotField showAll="0"/>
  </pivotFields>
  <rowFields count="1">
    <field x="13"/>
  </rowFields>
  <rowItems count="5">
    <i>
      <x/>
    </i>
    <i>
      <x v="1"/>
    </i>
    <i>
      <x v="2"/>
    </i>
    <i>
      <x v="3"/>
    </i>
    <i>
      <x v="4"/>
    </i>
  </rowItems>
  <colItems count="1">
    <i/>
  </colItems>
  <dataFields count="1">
    <dataField name=" Manufacturing costs" fld="18" baseField="13" baseItem="0"/>
  </dataFields>
  <formats count="1">
    <format dxfId="735">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D8CC58C-51CD-4645-B883-5D2A675B8E4C}" name="PivotTable2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Supplier Name">
  <location ref="A173:D178" firstHeaderRow="0" firstDataRow="1" firstDataCol="1"/>
  <pivotFields count="24">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6">
        <item x="1"/>
        <item x="4"/>
        <item x="0"/>
        <item x="3"/>
        <item x="2"/>
        <item t="default"/>
      </items>
    </pivotField>
    <pivotField showAll="0"/>
    <pivotField dataField="1" showAll="0"/>
    <pivotField showAll="0"/>
    <pivotField dataField="1" showAll="0"/>
    <pivotField showAll="0"/>
    <pivotField showAll="0"/>
    <pivotField showAll="0"/>
    <pivotField showAll="0"/>
    <pivotField showAll="0"/>
    <pivotField showAll="0"/>
  </pivotFields>
  <rowFields count="1">
    <field x="13"/>
  </rowFields>
  <rowItems count="5">
    <i>
      <x/>
    </i>
    <i>
      <x v="1"/>
    </i>
    <i>
      <x v="2"/>
    </i>
    <i>
      <x v="3"/>
    </i>
    <i>
      <x v="4"/>
    </i>
  </rowItems>
  <colFields count="1">
    <field x="-2"/>
  </colFields>
  <colItems count="3">
    <i>
      <x/>
    </i>
    <i i="1">
      <x v="1"/>
    </i>
    <i i="2">
      <x v="2"/>
    </i>
  </colItems>
  <dataFields count="3">
    <dataField name="Avg Shipping Time" fld="10" subtotal="average" baseField="13" baseItem="0" numFmtId="1"/>
    <dataField name="Average Supplier Lead Time" fld="15" subtotal="average" baseField="13" baseItem="2"/>
    <dataField name="Average Manufacturing Lead Time" fld="17" subtotal="average" baseField="13" baseItem="2"/>
  </dataFields>
  <formats count="1">
    <format dxfId="73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1" format="24" series="1">
      <pivotArea type="data" outline="0" fieldPosition="0">
        <references count="1">
          <reference field="4294967294" count="1" selected="0">
            <x v="0"/>
          </reference>
        </references>
      </pivotArea>
    </chartFormat>
    <chartFormat chart="11" format="25" series="1">
      <pivotArea type="data" outline="0" fieldPosition="0">
        <references count="1">
          <reference field="4294967294" count="1" selected="0">
            <x v="1"/>
          </reference>
        </references>
      </pivotArea>
    </chartFormat>
    <chartFormat chart="11" format="2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228A3C6-73B8-4973-93BF-B31C329D9B28}" name="no_of_products_sold"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rowHeaderCaption="Product Category">
  <location ref="A14:B18" firstHeaderRow="1" firstDataRow="1" firstDataCol="1"/>
  <pivotFields count="24">
    <pivotField axis="axisRow"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Total number of products sold" fld="4" baseField="0" baseItem="0"/>
  </dataFields>
  <chartFormats count="4">
    <chartFormat chart="14" format="29" series="1">
      <pivotArea type="data" outline="0" fieldPosition="0">
        <references count="1">
          <reference field="4294967294" count="1" selected="0">
            <x v="0"/>
          </reference>
        </references>
      </pivotArea>
    </chartFormat>
    <chartFormat chart="14" format="30">
      <pivotArea type="data" outline="0" fieldPosition="0">
        <references count="2">
          <reference field="4294967294" count="1" selected="0">
            <x v="0"/>
          </reference>
          <reference field="0" count="1" selected="0">
            <x v="0"/>
          </reference>
        </references>
      </pivotArea>
    </chartFormat>
    <chartFormat chart="14" format="31">
      <pivotArea type="data" outline="0" fieldPosition="0">
        <references count="2">
          <reference field="4294967294" count="1" selected="0">
            <x v="0"/>
          </reference>
          <reference field="0" count="1" selected="0">
            <x v="1"/>
          </reference>
        </references>
      </pivotArea>
    </chartFormat>
    <chartFormat chart="14" format="32">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87DB78-A64D-441B-AD7B-D41DAC1D6907}" name="PivotTable1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ID">
  <location ref="A126:B132" firstHeaderRow="1" firstDataRow="1" firstDataCol="1"/>
  <pivotFields count="24">
    <pivotField showAll="0">
      <items count="4">
        <item h="1" x="2"/>
        <item x="0"/>
        <item h="1" x="1"/>
        <item t="default"/>
      </items>
    </pivotField>
    <pivotField axis="axisRow" showAll="0" measureFilter="1" sortType="ascending">
      <items count="101">
        <item x="99"/>
        <item x="98"/>
        <item x="97"/>
        <item x="96"/>
        <item x="95"/>
        <item x="94"/>
        <item x="93"/>
        <item x="92"/>
        <item x="91"/>
        <item x="90"/>
        <item x="9"/>
        <item x="89"/>
        <item x="88"/>
        <item x="87"/>
        <item x="86"/>
        <item x="85"/>
        <item x="84"/>
        <item x="83"/>
        <item x="82"/>
        <item x="81"/>
        <item x="80"/>
        <item x="8"/>
        <item x="79"/>
        <item x="78"/>
        <item x="77"/>
        <item x="76"/>
        <item x="75"/>
        <item x="74"/>
        <item x="73"/>
        <item x="72"/>
        <item x="71"/>
        <item x="70"/>
        <item x="7"/>
        <item x="69"/>
        <item x="68"/>
        <item x="67"/>
        <item x="66"/>
        <item x="65"/>
        <item x="64"/>
        <item x="63"/>
        <item x="62"/>
        <item x="61"/>
        <item x="60"/>
        <item x="6"/>
        <item x="59"/>
        <item x="58"/>
        <item x="57"/>
        <item x="56"/>
        <item x="55"/>
        <item x="54"/>
        <item x="53"/>
        <item x="52"/>
        <item x="51"/>
        <item x="50"/>
        <item x="5"/>
        <item x="49"/>
        <item x="48"/>
        <item x="47"/>
        <item x="46"/>
        <item x="45"/>
        <item x="44"/>
        <item x="43"/>
        <item x="42"/>
        <item x="41"/>
        <item x="40"/>
        <item x="4"/>
        <item x="39"/>
        <item x="38"/>
        <item x="37"/>
        <item x="36"/>
        <item x="35"/>
        <item x="34"/>
        <item x="33"/>
        <item x="32"/>
        <item x="31"/>
        <item x="30"/>
        <item x="3"/>
        <item x="29"/>
        <item x="28"/>
        <item x="27"/>
        <item x="26"/>
        <item x="25"/>
        <item x="24"/>
        <item x="23"/>
        <item x="22"/>
        <item x="21"/>
        <item x="20"/>
        <item x="2"/>
        <item x="19"/>
        <item x="18"/>
        <item x="17"/>
        <item x="16"/>
        <item x="15"/>
        <item x="14"/>
        <item x="13"/>
        <item x="12"/>
        <item x="11"/>
        <item x="10"/>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6">
    <i>
      <x v="31"/>
    </i>
    <i>
      <x v="52"/>
    </i>
    <i>
      <x v="80"/>
    </i>
    <i>
      <x v="19"/>
    </i>
    <i>
      <x v="56"/>
    </i>
    <i t="grand">
      <x/>
    </i>
  </rowItems>
  <colItems count="1">
    <i/>
  </colItems>
  <dataFields count="1">
    <dataField name=" Manufacturing costs"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86FDBE6-3D2A-42CD-9F5C-FF89788E095D}"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Product ID">
  <location ref="A84:B90" firstHeaderRow="1" firstDataRow="1" firstDataCol="1"/>
  <pivotFields count="24">
    <pivotField showAll="0">
      <items count="4">
        <item h="1" x="2"/>
        <item x="0"/>
        <item h="1" x="1"/>
        <item t="default"/>
      </items>
    </pivotField>
    <pivotField axis="axisRow" showAll="0" measureFilter="1" sortType="descending">
      <items count="101">
        <item x="99"/>
        <item x="98"/>
        <item x="97"/>
        <item x="96"/>
        <item x="95"/>
        <item x="94"/>
        <item x="93"/>
        <item x="92"/>
        <item x="91"/>
        <item x="90"/>
        <item x="9"/>
        <item x="89"/>
        <item x="88"/>
        <item x="87"/>
        <item x="86"/>
        <item x="85"/>
        <item x="84"/>
        <item x="83"/>
        <item x="82"/>
        <item x="81"/>
        <item x="80"/>
        <item x="8"/>
        <item x="79"/>
        <item x="78"/>
        <item x="77"/>
        <item x="76"/>
        <item x="75"/>
        <item x="74"/>
        <item x="73"/>
        <item x="72"/>
        <item x="71"/>
        <item x="70"/>
        <item x="7"/>
        <item x="69"/>
        <item x="68"/>
        <item x="67"/>
        <item x="66"/>
        <item x="65"/>
        <item x="64"/>
        <item x="63"/>
        <item x="62"/>
        <item x="61"/>
        <item x="60"/>
        <item x="6"/>
        <item x="59"/>
        <item x="58"/>
        <item x="57"/>
        <item x="56"/>
        <item x="55"/>
        <item x="54"/>
        <item x="53"/>
        <item x="52"/>
        <item x="51"/>
        <item x="50"/>
        <item x="5"/>
        <item x="49"/>
        <item x="48"/>
        <item x="47"/>
        <item x="46"/>
        <item x="45"/>
        <item x="44"/>
        <item x="43"/>
        <item x="42"/>
        <item x="41"/>
        <item x="40"/>
        <item x="4"/>
        <item x="39"/>
        <item x="38"/>
        <item x="37"/>
        <item x="36"/>
        <item x="35"/>
        <item x="34"/>
        <item x="33"/>
        <item x="32"/>
        <item x="31"/>
        <item x="30"/>
        <item x="3"/>
        <item x="29"/>
        <item x="28"/>
        <item x="27"/>
        <item x="26"/>
        <item x="25"/>
        <item x="24"/>
        <item x="23"/>
        <item x="22"/>
        <item x="21"/>
        <item x="20"/>
        <item x="2"/>
        <item x="19"/>
        <item x="18"/>
        <item x="17"/>
        <item x="16"/>
        <item x="15"/>
        <item x="14"/>
        <item x="13"/>
        <item x="12"/>
        <item x="11"/>
        <item x="10"/>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6">
    <i>
      <x v="25"/>
    </i>
    <i>
      <x v="87"/>
    </i>
    <i>
      <x v="81"/>
    </i>
    <i>
      <x/>
    </i>
    <i>
      <x v="27"/>
    </i>
    <i t="grand">
      <x/>
    </i>
  </rowItems>
  <colItems count="1">
    <i/>
  </colItems>
  <dataFields count="1">
    <dataField name=" Production volumes" fld="16" baseField="0" baseItem="0"/>
  </dataFields>
  <chartFormats count="3">
    <chartFormat chart="11"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2D68CA1-334D-4379-8CF5-35ACB98ADCDD}" name="PivotTable8"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Shipping Carriers">
  <location ref="A183:B186" firstHeaderRow="1" firstDataRow="1" firstDataCol="1"/>
  <pivotFields count="24">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x v="2"/>
    </i>
  </rowItems>
  <colItems count="1">
    <i/>
  </colItems>
  <dataFields count="1">
    <dataField name="Average of Shipping costs" fld="12" subtotal="average" baseField="11" baseItem="0" numFmtId="1"/>
  </dataFields>
  <formats count="1">
    <format dxfId="73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6459E4C-2654-4AFD-A8F9-EE3F0018B5E0}" name="PivotTable22"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Category">
  <location ref="H16:H17" firstHeaderRow="1" firstDataRow="1" firstDataCol="0"/>
  <pivotFields count="24">
    <pivotField showAll="0">
      <items count="4">
        <item h="1" x="2"/>
        <item x="0"/>
        <item h="1"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rice" fld="2" subtotal="average" baseField="0" baseItem="0"/>
  </dataFields>
  <formats count="1">
    <format dxfId="7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756D8F0-99B8-4619-98C1-7F96900FD21C}" name="PivotTable17"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Category">
  <location ref="H5:H6" firstHeaderRow="1" firstDataRow="1" firstDataCol="0"/>
  <pivotFields count="24">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Total Units Produced" fld="16" baseField="0" baseItem="0"/>
  </dataFields>
  <formats count="1">
    <format dxfId="7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A055337-B4E5-4654-95DB-3651BE760B09}" name="low_skus_by_qty"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roduct ID">
  <location ref="A34:B45" firstHeaderRow="1" firstDataRow="1" firstDataCol="1"/>
  <pivotFields count="24">
    <pivotField showAll="0">
      <items count="4">
        <item h="1" x="2"/>
        <item x="0"/>
        <item h="1" x="1"/>
        <item t="default"/>
      </items>
    </pivotField>
    <pivotField axis="axisRow" showAll="0" measureFilter="1" sortType="ascending">
      <items count="101">
        <item x="99"/>
        <item x="98"/>
        <item x="97"/>
        <item x="96"/>
        <item x="95"/>
        <item x="94"/>
        <item x="93"/>
        <item x="92"/>
        <item x="91"/>
        <item x="90"/>
        <item x="9"/>
        <item x="89"/>
        <item x="88"/>
        <item x="87"/>
        <item x="86"/>
        <item x="85"/>
        <item x="84"/>
        <item x="83"/>
        <item x="82"/>
        <item x="81"/>
        <item x="80"/>
        <item x="8"/>
        <item x="79"/>
        <item x="78"/>
        <item x="77"/>
        <item x="76"/>
        <item x="75"/>
        <item x="74"/>
        <item x="73"/>
        <item x="72"/>
        <item x="71"/>
        <item x="70"/>
        <item x="7"/>
        <item x="69"/>
        <item x="68"/>
        <item x="67"/>
        <item x="66"/>
        <item x="65"/>
        <item x="64"/>
        <item x="63"/>
        <item x="62"/>
        <item x="61"/>
        <item x="60"/>
        <item x="6"/>
        <item x="59"/>
        <item x="58"/>
        <item x="57"/>
        <item x="56"/>
        <item x="55"/>
        <item x="54"/>
        <item x="53"/>
        <item x="52"/>
        <item x="51"/>
        <item x="50"/>
        <item x="5"/>
        <item x="49"/>
        <item x="48"/>
        <item x="47"/>
        <item x="46"/>
        <item x="45"/>
        <item x="44"/>
        <item x="43"/>
        <item x="42"/>
        <item x="41"/>
        <item x="40"/>
        <item x="4"/>
        <item x="39"/>
        <item x="38"/>
        <item x="37"/>
        <item x="36"/>
        <item x="35"/>
        <item x="34"/>
        <item x="33"/>
        <item x="32"/>
        <item x="31"/>
        <item x="30"/>
        <item x="3"/>
        <item x="29"/>
        <item x="28"/>
        <item x="27"/>
        <item x="26"/>
        <item x="25"/>
        <item x="24"/>
        <item x="23"/>
        <item x="22"/>
        <item x="21"/>
        <item x="20"/>
        <item x="2"/>
        <item x="19"/>
        <item x="18"/>
        <item x="17"/>
        <item x="16"/>
        <item x="15"/>
        <item x="14"/>
        <item x="13"/>
        <item x="12"/>
        <item x="11"/>
        <item x="10"/>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87"/>
    </i>
    <i>
      <x v="59"/>
    </i>
    <i>
      <x v="56"/>
    </i>
    <i>
      <x v="31"/>
    </i>
    <i>
      <x v="2"/>
    </i>
    <i>
      <x v="13"/>
    </i>
    <i>
      <x v="6"/>
    </i>
    <i>
      <x v="41"/>
    </i>
    <i>
      <x v="81"/>
    </i>
    <i>
      <x v="54"/>
    </i>
    <i t="grand">
      <x/>
    </i>
  </rowItems>
  <colItems count="1">
    <i/>
  </colItems>
  <dataFields count="1">
    <dataField name="Total number of products sold" fld="4"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4FFD013-A08B-4005-B737-7E861D5F3499}" name="PivotTable26"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Product ID">
  <location ref="A163:D169" firstHeaderRow="1" firstDataRow="2" firstDataCol="1"/>
  <pivotFields count="24">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4"/>
        <item x="0"/>
        <item x="3"/>
        <item x="2"/>
        <item t="default"/>
      </items>
    </pivotField>
    <pivotField showAll="0"/>
    <pivotField showAll="0"/>
    <pivotField showAll="0"/>
    <pivotField showAll="0"/>
    <pivotField showAll="0"/>
    <pivotField axis="axisCol" dataField="1" showAll="0">
      <items count="4">
        <item x="1"/>
        <item x="2"/>
        <item x="0"/>
        <item t="default"/>
      </items>
    </pivotField>
    <pivotField showAll="0"/>
    <pivotField showAll="0"/>
    <pivotField showAll="0"/>
    <pivotField showAll="0"/>
  </pivotFields>
  <rowFields count="1">
    <field x="13"/>
  </rowFields>
  <rowItems count="5">
    <i>
      <x/>
    </i>
    <i>
      <x v="1"/>
    </i>
    <i>
      <x v="2"/>
    </i>
    <i>
      <x v="3"/>
    </i>
    <i>
      <x v="4"/>
    </i>
  </rowItems>
  <colFields count="1">
    <field x="19"/>
  </colFields>
  <colItems count="3">
    <i>
      <x/>
    </i>
    <i>
      <x v="1"/>
    </i>
    <i>
      <x v="2"/>
    </i>
  </colItems>
  <dataFields count="1">
    <dataField name="Count of Inspection results" fld="19" subtotal="count" baseField="0" baseItem="0"/>
  </dataFields>
  <chartFormats count="3">
    <chartFormat chart="11" format="24" series="1">
      <pivotArea type="data" outline="0" fieldPosition="0">
        <references count="2">
          <reference field="4294967294" count="1" selected="0">
            <x v="0"/>
          </reference>
          <reference field="19" count="1" selected="0">
            <x v="0"/>
          </reference>
        </references>
      </pivotArea>
    </chartFormat>
    <chartFormat chart="11" format="25" series="1">
      <pivotArea type="data" outline="0" fieldPosition="0">
        <references count="2">
          <reference field="4294967294" count="1" selected="0">
            <x v="0"/>
          </reference>
          <reference field="19" count="1" selected="0">
            <x v="1"/>
          </reference>
        </references>
      </pivotArea>
    </chartFormat>
    <chartFormat chart="11" format="26"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C89BE3C-2935-4707-9FA0-2B83DFED3A41}" name="PivotTable1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ID">
  <location ref="A140:B146" firstHeaderRow="1" firstDataRow="1" firstDataCol="1"/>
  <pivotFields count="24">
    <pivotField showAll="0">
      <items count="4">
        <item h="1" x="2"/>
        <item x="0"/>
        <item h="1" x="1"/>
        <item t="default"/>
      </items>
    </pivotField>
    <pivotField axis="axisRow" showAll="0" measureFilter="1" sortType="descending">
      <items count="101">
        <item x="99"/>
        <item x="98"/>
        <item x="97"/>
        <item x="96"/>
        <item x="95"/>
        <item x="94"/>
        <item x="93"/>
        <item x="92"/>
        <item x="91"/>
        <item x="90"/>
        <item x="9"/>
        <item x="89"/>
        <item x="88"/>
        <item x="87"/>
        <item x="86"/>
        <item x="85"/>
        <item x="84"/>
        <item x="83"/>
        <item x="82"/>
        <item x="81"/>
        <item x="80"/>
        <item x="8"/>
        <item x="79"/>
        <item x="78"/>
        <item x="77"/>
        <item x="76"/>
        <item x="75"/>
        <item x="74"/>
        <item x="73"/>
        <item x="72"/>
        <item x="71"/>
        <item x="70"/>
        <item x="7"/>
        <item x="69"/>
        <item x="68"/>
        <item x="67"/>
        <item x="66"/>
        <item x="65"/>
        <item x="64"/>
        <item x="63"/>
        <item x="62"/>
        <item x="61"/>
        <item x="60"/>
        <item x="6"/>
        <item x="59"/>
        <item x="58"/>
        <item x="57"/>
        <item x="56"/>
        <item x="55"/>
        <item x="54"/>
        <item x="53"/>
        <item x="52"/>
        <item x="51"/>
        <item x="50"/>
        <item x="5"/>
        <item x="49"/>
        <item x="48"/>
        <item x="47"/>
        <item x="46"/>
        <item x="45"/>
        <item x="44"/>
        <item x="43"/>
        <item x="42"/>
        <item x="41"/>
        <item x="40"/>
        <item x="4"/>
        <item x="39"/>
        <item x="38"/>
        <item x="37"/>
        <item x="36"/>
        <item x="35"/>
        <item x="34"/>
        <item x="33"/>
        <item x="32"/>
        <item x="31"/>
        <item x="30"/>
        <item x="3"/>
        <item x="29"/>
        <item x="28"/>
        <item x="27"/>
        <item x="26"/>
        <item x="25"/>
        <item x="24"/>
        <item x="23"/>
        <item x="22"/>
        <item x="21"/>
        <item x="20"/>
        <item x="2"/>
        <item x="19"/>
        <item x="18"/>
        <item x="17"/>
        <item x="16"/>
        <item x="15"/>
        <item x="14"/>
        <item x="13"/>
        <item x="12"/>
        <item x="11"/>
        <item x="10"/>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6">
    <i>
      <x v="17"/>
    </i>
    <i>
      <x v="34"/>
    </i>
    <i>
      <x v="27"/>
    </i>
    <i>
      <x v="41"/>
    </i>
    <i>
      <x v="81"/>
    </i>
    <i t="grand">
      <x/>
    </i>
  </rowItems>
  <colItems count="1">
    <i/>
  </colItems>
  <dataFields count="1">
    <dataField name=" Manufacturing costs" fld="18" baseField="0" baseItem="0"/>
  </dataFields>
  <chartFormats count="2">
    <chartFormat chart="5" format="4"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BB1D41D-41A6-45B3-9359-B60BE257CF7E}" name="PivotTable1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outes">
  <location ref="A191:B194" firstHeaderRow="1" firstDataRow="1" firstDataCol="1"/>
  <pivotFields count="24">
    <pivotField showAll="0">
      <items count="4">
        <item h="1" x="2"/>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s>
  <rowFields count="1">
    <field x="22"/>
  </rowFields>
  <rowItems count="3">
    <i>
      <x/>
    </i>
    <i>
      <x v="1"/>
    </i>
    <i>
      <x v="2"/>
    </i>
  </rowItems>
  <colItems count="1">
    <i/>
  </colItems>
  <dataFields count="1">
    <dataField name="Average of Shipping costs" fld="12" subtotal="average" baseField="11" baseItem="0" numFmtId="1"/>
  </dataFields>
  <formats count="1">
    <format dxfId="74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2C7C6B8-545C-4360-8FD9-D89E85408991}"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ustomer Demographics">
  <location ref="A72:B77" firstHeaderRow="1" firstDataRow="1" firstDataCol="1"/>
  <pivotFields count="24">
    <pivotField showAll="0">
      <items count="4">
        <item h="1" x="2"/>
        <item x="0"/>
        <item h="1" x="1"/>
        <item t="default"/>
      </items>
    </pivotField>
    <pivotField dataField="1" showAll="0"/>
    <pivotField showAll="0"/>
    <pivotField showAll="0"/>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fld="1" subtotal="count" baseField="0" baseItem="0"/>
  </dataFields>
  <chartFormats count="2">
    <chartFormat chart="6" format="4"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23DD6C-793F-4973-A28A-77D51B8DE6C8}" autoFormatId="16" applyNumberFormats="0" applyBorderFormats="0" applyFontFormats="0" applyPatternFormats="0" applyAlignmentFormats="0" applyWidthHeightFormats="0">
  <queryTableRefresh nextId="33">
    <queryTableFields count="24">
      <queryTableField id="1" name="Product type" tableColumnId="1"/>
      <queryTableField id="2" name="SKU" tableColumnId="2"/>
      <queryTableField id="3" name="Price" tableColumnId="3"/>
      <queryTableField id="4" name="Availability" tableColumnId="4"/>
      <queryTableField id="5" name="Number of products sold" tableColumnId="5"/>
      <queryTableField id="6" name="Revenue generated" tableColumnId="6"/>
      <queryTableField id="7" name="Customer demographics" tableColumnId="7"/>
      <queryTableField id="8" name="Stock levels" tableColumnId="8"/>
      <queryTableField id="25" name="Delivery Lead times" tableColumnId="9"/>
      <queryTableField id="10" name="Order quantities" tableColumnId="10"/>
      <queryTableField id="11" name="Shipping times" tableColumnId="11"/>
      <queryTableField id="12" name="Shipping carriers" tableColumnId="12"/>
      <queryTableField id="13" name="Shipping costs" tableColumnId="13"/>
      <queryTableField id="14" name="Supplier name" tableColumnId="14"/>
      <queryTableField id="15" name="Location" tableColumnId="15"/>
      <queryTableField id="26" name="Supplier Lead Time" tableColumnId="16"/>
      <queryTableField id="17" name="Production volumes" tableColumnId="17"/>
      <queryTableField id="18" name="Manufacturing lead time" tableColumnId="18"/>
      <queryTableField id="19" name="Manufacturing costs" tableColumnId="19"/>
      <queryTableField id="20" name="Inspection results" tableColumnId="20"/>
      <queryTableField id="21" name="Defect rates" tableColumnId="21"/>
      <queryTableField id="22" name="Transportation modes" tableColumnId="22"/>
      <queryTableField id="23" name="Routes" tableColumnId="23"/>
      <queryTableField id="24" name="Costs" tableColumnId="24"/>
    </queryTableFields>
    <queryTableDeletedFields count="2">
      <deletedField name="Shipping Speed Category"/>
      <deletedField name="Delivery Lead Time Category"/>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B573162F-0351-49D1-8FE8-7305596921F3}" sourceName="Product type">
  <pivotTables>
    <pivotTable tabId="6" name="low_skus_by_qty"/>
    <pivotTable tabId="6" name="PivotTable10"/>
    <pivotTable tabId="6" name="PivotTable12"/>
    <pivotTable tabId="6" name="PivotTable13"/>
    <pivotTable tabId="6" name="PivotTable14"/>
    <pivotTable tabId="6" name="PivotTable15"/>
    <pivotTable tabId="6" name="PivotTable16"/>
    <pivotTable tabId="6" name="PivotTable17"/>
    <pivotTable tabId="6" name="PivotTable19"/>
    <pivotTable tabId="6" name="PivotTable20"/>
    <pivotTable tabId="6" name="PivotTable21"/>
    <pivotTable tabId="6" name="PivotTable22"/>
    <pivotTable tabId="6" name="PivotTable26"/>
    <pivotTable tabId="6" name="PivotTable4"/>
    <pivotTable tabId="6" name="PivotTable5"/>
    <pivotTable tabId="6" name="PivotTable7"/>
    <pivotTable tabId="6" name="PivotTable8"/>
    <pivotTable tabId="6" name="PivotTable9"/>
    <pivotTable tabId="6" name="top_5_skus_by_qty"/>
    <pivotTable tabId="6" name="PivotTable1"/>
    <pivotTable tabId="6" name="total_revenue_kpi"/>
    <pivotTable tabId="6" name="total_units_sold_kpi"/>
    <pivotTable tabId="6" name="PivotTable6"/>
  </pivotTables>
  <data>
    <tabular pivotCacheId="1577125271">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E590EF23-7253-4CEE-92EF-0D366380A050}" cache="Slicer_Product_type"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70047339-49E8-4E90-A29C-A472DCB1156E}" cache="Slicer_Product_type"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1E41E9A-FA40-44DA-8B16-F23DC566F53E}" cache="Slicer_Product_type"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47894C-F9E4-4DDC-9D55-46F04699E62E}" name="supply_chain_analysis" displayName="supply_chain_analysis" ref="A1:X101" tableType="queryTable" totalsRowShown="0">
  <autoFilter ref="A1:X101" xr:uid="{6C47894C-F9E4-4DDC-9D55-46F04699E62E}"/>
  <sortState xmlns:xlrd2="http://schemas.microsoft.com/office/spreadsheetml/2017/richdata2" ref="A2:X101">
    <sortCondition ref="B1:B101"/>
  </sortState>
  <tableColumns count="24">
    <tableColumn id="1" xr3:uid="{6B8D8C84-3087-4FFA-8462-C8B90AF73FD0}" uniqueName="1" name="Product type" queryTableFieldId="1" dataDxfId="731"/>
    <tableColumn id="2" xr3:uid="{A78EB2FF-42B7-4F1C-AC5F-71379B37B1A7}" uniqueName="2" name="SKU" queryTableFieldId="2" dataDxfId="730"/>
    <tableColumn id="3" xr3:uid="{E80F2640-A38C-430A-827D-C7B710A52952}" uniqueName="3" name="Price" queryTableFieldId="3"/>
    <tableColumn id="4" xr3:uid="{73EB26FC-737F-4875-81C3-C57FD85F6F20}" uniqueName="4" name="Availability" queryTableFieldId="4"/>
    <tableColumn id="5" xr3:uid="{4753D205-7E78-49AD-B8F1-D0C34628C924}" uniqueName="5" name="Number of products sold" queryTableFieldId="5"/>
    <tableColumn id="6" xr3:uid="{028ED092-7885-4680-B9ED-720F2DF3A0B1}" uniqueName="6" name="Revenue generated" queryTableFieldId="6"/>
    <tableColumn id="7" xr3:uid="{5FD2A3D2-AB3E-40D8-8B93-6861BE33B86E}" uniqueName="7" name="Customer demographics" queryTableFieldId="7" dataDxfId="729"/>
    <tableColumn id="8" xr3:uid="{DBF2013A-1443-4155-B1A3-BAC0DDC4A170}" uniqueName="8" name="Stock levels" queryTableFieldId="8"/>
    <tableColumn id="9" xr3:uid="{2F87A5C5-16C0-4CB0-9C17-7F66D35AF9F8}" uniqueName="9" name="Delivery Lead times" queryTableFieldId="25"/>
    <tableColumn id="10" xr3:uid="{19F38231-B24C-417A-AF8A-BAA8AE0F7D73}" uniqueName="10" name="Order quantities" queryTableFieldId="10"/>
    <tableColumn id="11" xr3:uid="{746FA735-5EC4-469B-866E-BEBF92A91EFC}" uniqueName="11" name="Shipping times" queryTableFieldId="11"/>
    <tableColumn id="12" xr3:uid="{99829258-1B89-456D-BEC8-3A28B457CFD1}" uniqueName="12" name="Shipping carriers" queryTableFieldId="12" dataDxfId="728"/>
    <tableColumn id="13" xr3:uid="{0B395923-703A-451A-ACEA-A742F2F5BACA}" uniqueName="13" name="Shipping costs" queryTableFieldId="13"/>
    <tableColumn id="14" xr3:uid="{D10EA7E1-C9AF-4446-A53C-3496C7A532E0}" uniqueName="14" name="Supplier name" queryTableFieldId="14" dataDxfId="727"/>
    <tableColumn id="15" xr3:uid="{6D2180C1-C108-456C-A04E-6B633CF3402B}" uniqueName="15" name="Location" queryTableFieldId="15" dataDxfId="726"/>
    <tableColumn id="16" xr3:uid="{A648F4A5-64DC-46D3-B213-102A08000C28}" uniqueName="16" name="Supplier Lead Time" queryTableFieldId="26"/>
    <tableColumn id="17" xr3:uid="{DDC8D26A-6911-43E0-AE2E-092096242522}" uniqueName="17" name="Production volumes" queryTableFieldId="17"/>
    <tableColumn id="18" xr3:uid="{6A5E7E94-267E-4093-AFB1-496C6B7CA3A9}" uniqueName="18" name="Manufacturing lead time" queryTableFieldId="18"/>
    <tableColumn id="19" xr3:uid="{23D86513-3954-43E7-B55B-D9DC2F4DD9FE}" uniqueName="19" name="Manufacturing costs" queryTableFieldId="19"/>
    <tableColumn id="20" xr3:uid="{F25835EB-7B64-420B-AFFC-47DD0C2473ED}" uniqueName="20" name="Inspection results" queryTableFieldId="20" dataDxfId="725"/>
    <tableColumn id="21" xr3:uid="{5BD2ADCD-B1EC-4C93-8EF9-A2B687FF102C}" uniqueName="21" name="Defect rates" queryTableFieldId="21"/>
    <tableColumn id="22" xr3:uid="{5B789471-3877-4CC1-8FAA-45BC9A079A4C}" uniqueName="22" name="Transportation modes" queryTableFieldId="22" dataDxfId="724"/>
    <tableColumn id="23" xr3:uid="{7B392C84-39BE-45B1-AC4A-64DF4F779096}" uniqueName="23" name="Routes" queryTableFieldId="23" dataDxfId="723"/>
    <tableColumn id="24" xr3:uid="{D5832416-7CA0-4BA1-AED5-9A2AEF67ECF8}" uniqueName="24" name="Costs" queryTableField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691C7-7674-4635-8DCF-1E828E487483}">
  <dimension ref="A1"/>
  <sheetViews>
    <sheetView showGridLines="0" showRowColHeaders="0" zoomScale="112" zoomScaleNormal="112"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AFDFD-34E4-48FD-9038-F0DD12C81D00}">
  <dimension ref="A1"/>
  <sheetViews>
    <sheetView showGridLines="0" showRowColHeaders="0" zoomScale="112" zoomScaleNormal="112"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C5E5-B6BA-41CB-A026-58345AAE0C01}">
  <dimension ref="A1"/>
  <sheetViews>
    <sheetView showGridLines="0" showRowColHeaders="0" tabSelected="1" zoomScale="112" zoomScaleNormal="112"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B7082-1985-4BC1-B7DC-59D8367617D0}">
  <dimension ref="A1:N206"/>
  <sheetViews>
    <sheetView workbookViewId="0">
      <selection activeCell="D20" sqref="D20"/>
    </sheetView>
  </sheetViews>
  <sheetFormatPr defaultRowHeight="15" x14ac:dyDescent="0.25"/>
  <cols>
    <col min="1" max="1" width="11.28515625" bestFit="1" customWidth="1"/>
    <col min="2" max="2" width="23.7109375" bestFit="1" customWidth="1"/>
    <col min="3" max="3" width="4.85546875" bestFit="1" customWidth="1"/>
    <col min="4" max="4" width="8.28515625" bestFit="1" customWidth="1"/>
    <col min="7" max="7" width="26.28515625" customWidth="1"/>
    <col min="8" max="8" width="33" customWidth="1"/>
    <col min="9" max="9" width="33.5703125" bestFit="1" customWidth="1"/>
  </cols>
  <sheetData>
    <row r="1" spans="1:8" ht="26.25" x14ac:dyDescent="0.4">
      <c r="A1" s="6" t="s">
        <v>189</v>
      </c>
      <c r="B1" s="6"/>
      <c r="C1" s="6"/>
    </row>
    <row r="2" spans="1:8" x14ac:dyDescent="0.25">
      <c r="G2" s="4" t="s">
        <v>199</v>
      </c>
      <c r="H2" t="s">
        <v>200</v>
      </c>
    </row>
    <row r="3" spans="1:8" x14ac:dyDescent="0.25">
      <c r="A3" s="5" t="s">
        <v>155</v>
      </c>
      <c r="B3" s="9"/>
      <c r="H3" s="3">
        <v>17.058823529411764</v>
      </c>
    </row>
    <row r="5" spans="1:8" x14ac:dyDescent="0.25">
      <c r="A5" s="1" t="s">
        <v>153</v>
      </c>
      <c r="B5" t="s">
        <v>154</v>
      </c>
      <c r="G5" s="4" t="s">
        <v>201</v>
      </c>
      <c r="H5" t="s">
        <v>201</v>
      </c>
    </row>
    <row r="6" spans="1:8" x14ac:dyDescent="0.25">
      <c r="A6" s="2" t="s">
        <v>55</v>
      </c>
      <c r="B6" s="10">
        <v>26</v>
      </c>
      <c r="H6" s="3">
        <v>19957</v>
      </c>
    </row>
    <row r="7" spans="1:8" x14ac:dyDescent="0.25">
      <c r="A7" s="2" t="s">
        <v>22</v>
      </c>
      <c r="B7" s="10">
        <v>34</v>
      </c>
    </row>
    <row r="8" spans="1:8" x14ac:dyDescent="0.25">
      <c r="A8" s="2" t="s">
        <v>31</v>
      </c>
      <c r="B8" s="10">
        <v>40</v>
      </c>
    </row>
    <row r="9" spans="1:8" x14ac:dyDescent="0.25">
      <c r="A9" s="2" t="s">
        <v>152</v>
      </c>
      <c r="B9" s="10">
        <v>100</v>
      </c>
      <c r="G9" s="4" t="s">
        <v>202</v>
      </c>
      <c r="H9" t="s">
        <v>203</v>
      </c>
    </row>
    <row r="10" spans="1:8" x14ac:dyDescent="0.25">
      <c r="H10" s="3">
        <v>5.617647058823529</v>
      </c>
    </row>
    <row r="12" spans="1:8" x14ac:dyDescent="0.25">
      <c r="A12" s="5" t="s">
        <v>157</v>
      </c>
      <c r="B12" s="5"/>
    </row>
    <row r="13" spans="1:8" x14ac:dyDescent="0.25">
      <c r="G13" s="4" t="s">
        <v>204</v>
      </c>
      <c r="H13" t="s">
        <v>186</v>
      </c>
    </row>
    <row r="14" spans="1:8" x14ac:dyDescent="0.25">
      <c r="A14" s="1" t="s">
        <v>153</v>
      </c>
      <c r="B14" t="s">
        <v>156</v>
      </c>
      <c r="H14" s="3">
        <v>5.8529411764705879</v>
      </c>
    </row>
    <row r="15" spans="1:8" x14ac:dyDescent="0.25">
      <c r="A15" s="2" t="s">
        <v>55</v>
      </c>
      <c r="B15" s="10">
        <v>11757</v>
      </c>
    </row>
    <row r="16" spans="1:8" x14ac:dyDescent="0.25">
      <c r="A16" s="2" t="s">
        <v>22</v>
      </c>
      <c r="B16" s="10">
        <v>13611</v>
      </c>
      <c r="G16" s="4" t="s">
        <v>205</v>
      </c>
      <c r="H16" t="s">
        <v>206</v>
      </c>
    </row>
    <row r="17" spans="1:8" x14ac:dyDescent="0.25">
      <c r="A17" s="2" t="s">
        <v>31</v>
      </c>
      <c r="B17" s="10">
        <v>20731</v>
      </c>
      <c r="H17" s="3">
        <v>46</v>
      </c>
    </row>
    <row r="18" spans="1:8" x14ac:dyDescent="0.25">
      <c r="A18" s="2" t="s">
        <v>152</v>
      </c>
      <c r="B18" s="10">
        <v>46099</v>
      </c>
    </row>
    <row r="20" spans="1:8" x14ac:dyDescent="0.25">
      <c r="G20" s="4" t="s">
        <v>178</v>
      </c>
      <c r="H20" t="s">
        <v>207</v>
      </c>
    </row>
    <row r="21" spans="1:8" x14ac:dyDescent="0.25">
      <c r="A21" s="5" t="s">
        <v>197</v>
      </c>
      <c r="B21" s="5"/>
      <c r="H21" s="3">
        <v>18.705882352941178</v>
      </c>
    </row>
    <row r="23" spans="1:8" x14ac:dyDescent="0.25">
      <c r="A23" s="1" t="s">
        <v>158</v>
      </c>
      <c r="B23" t="s">
        <v>156</v>
      </c>
    </row>
    <row r="24" spans="1:8" x14ac:dyDescent="0.25">
      <c r="A24" s="2" t="s">
        <v>23</v>
      </c>
      <c r="B24" s="10">
        <v>802</v>
      </c>
      <c r="G24" s="4" t="s">
        <v>164</v>
      </c>
      <c r="H24" t="s">
        <v>159</v>
      </c>
    </row>
    <row r="25" spans="1:8" x14ac:dyDescent="0.25">
      <c r="A25" s="2" t="s">
        <v>98</v>
      </c>
      <c r="B25" s="10">
        <v>859</v>
      </c>
      <c r="H25" s="3">
        <v>174454</v>
      </c>
    </row>
    <row r="26" spans="1:8" x14ac:dyDescent="0.25">
      <c r="A26" s="2" t="s">
        <v>74</v>
      </c>
      <c r="B26" s="10">
        <v>884</v>
      </c>
    </row>
    <row r="27" spans="1:8" x14ac:dyDescent="0.25">
      <c r="A27" s="2" t="s">
        <v>126</v>
      </c>
      <c r="B27" s="10">
        <v>904</v>
      </c>
      <c r="G27" s="4" t="s">
        <v>208</v>
      </c>
      <c r="H27" t="s">
        <v>209</v>
      </c>
    </row>
    <row r="28" spans="1:8" x14ac:dyDescent="0.25">
      <c r="A28" s="2" t="s">
        <v>130</v>
      </c>
      <c r="B28" s="10">
        <v>946</v>
      </c>
      <c r="H28" s="3">
        <v>13611</v>
      </c>
    </row>
    <row r="29" spans="1:8" x14ac:dyDescent="0.25">
      <c r="A29" s="2" t="s">
        <v>152</v>
      </c>
      <c r="B29" s="10">
        <v>4395</v>
      </c>
    </row>
    <row r="31" spans="1:8" x14ac:dyDescent="0.25">
      <c r="A31" s="2"/>
    </row>
    <row r="32" spans="1:8" x14ac:dyDescent="0.25">
      <c r="A32" s="5" t="s">
        <v>173</v>
      </c>
      <c r="B32" s="5"/>
    </row>
    <row r="34" spans="1:3" x14ac:dyDescent="0.25">
      <c r="A34" s="1" t="s">
        <v>158</v>
      </c>
      <c r="B34" t="s">
        <v>156</v>
      </c>
    </row>
    <row r="35" spans="1:3" x14ac:dyDescent="0.25">
      <c r="A35" s="2" t="s">
        <v>35</v>
      </c>
      <c r="B35" s="10">
        <v>8</v>
      </c>
    </row>
    <row r="36" spans="1:3" x14ac:dyDescent="0.25">
      <c r="A36" s="2" t="s">
        <v>97</v>
      </c>
      <c r="B36" s="10">
        <v>24</v>
      </c>
    </row>
    <row r="37" spans="1:3" x14ac:dyDescent="0.25">
      <c r="A37" s="2" t="s">
        <v>100</v>
      </c>
      <c r="B37" s="10">
        <v>29</v>
      </c>
    </row>
    <row r="38" spans="1:3" x14ac:dyDescent="0.25">
      <c r="A38" s="2" t="s">
        <v>122</v>
      </c>
      <c r="B38" s="10">
        <v>32</v>
      </c>
    </row>
    <row r="39" spans="1:3" x14ac:dyDescent="0.25">
      <c r="A39" s="2" t="s">
        <v>149</v>
      </c>
      <c r="B39" s="10">
        <v>62</v>
      </c>
    </row>
    <row r="40" spans="1:3" x14ac:dyDescent="0.25">
      <c r="A40" s="2" t="s">
        <v>139</v>
      </c>
      <c r="B40" s="10">
        <v>79</v>
      </c>
    </row>
    <row r="41" spans="1:3" x14ac:dyDescent="0.25">
      <c r="A41" s="2" t="s">
        <v>145</v>
      </c>
      <c r="B41" s="10">
        <v>114</v>
      </c>
    </row>
    <row r="42" spans="1:3" x14ac:dyDescent="0.25">
      <c r="A42" s="2" t="s">
        <v>113</v>
      </c>
      <c r="B42" s="10">
        <v>117</v>
      </c>
    </row>
    <row r="43" spans="1:3" x14ac:dyDescent="0.25">
      <c r="A43" s="2" t="s">
        <v>77</v>
      </c>
      <c r="B43" s="10">
        <v>142</v>
      </c>
    </row>
    <row r="44" spans="1:3" x14ac:dyDescent="0.25">
      <c r="A44" s="2" t="s">
        <v>49</v>
      </c>
      <c r="B44" s="10">
        <v>147</v>
      </c>
    </row>
    <row r="45" spans="1:3" x14ac:dyDescent="0.25">
      <c r="A45" s="2" t="s">
        <v>152</v>
      </c>
      <c r="B45" s="10">
        <v>754</v>
      </c>
    </row>
    <row r="48" spans="1:3" ht="26.25" x14ac:dyDescent="0.4">
      <c r="A48" s="6" t="s">
        <v>190</v>
      </c>
      <c r="B48" s="8"/>
      <c r="C48" s="8"/>
    </row>
    <row r="50" spans="1:2" x14ac:dyDescent="0.25">
      <c r="A50" s="5" t="s">
        <v>163</v>
      </c>
      <c r="B50" s="5"/>
    </row>
    <row r="52" spans="1:2" x14ac:dyDescent="0.25">
      <c r="A52" s="1" t="s">
        <v>153</v>
      </c>
      <c r="B52" t="s">
        <v>164</v>
      </c>
    </row>
    <row r="53" spans="1:2" x14ac:dyDescent="0.25">
      <c r="A53" s="2" t="s">
        <v>55</v>
      </c>
      <c r="B53" s="10">
        <v>161519</v>
      </c>
    </row>
    <row r="54" spans="1:2" x14ac:dyDescent="0.25">
      <c r="A54" s="2" t="s">
        <v>22</v>
      </c>
      <c r="B54" s="10">
        <v>174454</v>
      </c>
    </row>
    <row r="55" spans="1:2" x14ac:dyDescent="0.25">
      <c r="A55" s="2" t="s">
        <v>31</v>
      </c>
      <c r="B55" s="10">
        <v>241629</v>
      </c>
    </row>
    <row r="56" spans="1:2" x14ac:dyDescent="0.25">
      <c r="A56" s="2" t="s">
        <v>152</v>
      </c>
      <c r="B56" s="10">
        <v>577602</v>
      </c>
    </row>
    <row r="59" spans="1:2" x14ac:dyDescent="0.25">
      <c r="A59" s="5" t="s">
        <v>198</v>
      </c>
      <c r="B59" s="5"/>
    </row>
    <row r="61" spans="1:2" x14ac:dyDescent="0.25">
      <c r="A61" s="1" t="s">
        <v>158</v>
      </c>
      <c r="B61" t="s">
        <v>159</v>
      </c>
    </row>
    <row r="62" spans="1:2" x14ac:dyDescent="0.25">
      <c r="A62" s="2" t="s">
        <v>76</v>
      </c>
      <c r="B62" s="10">
        <v>9049</v>
      </c>
    </row>
    <row r="63" spans="1:2" x14ac:dyDescent="0.25">
      <c r="A63" s="2" t="s">
        <v>151</v>
      </c>
      <c r="B63" s="10">
        <v>9185</v>
      </c>
    </row>
    <row r="64" spans="1:2" x14ac:dyDescent="0.25">
      <c r="A64" s="2" t="s">
        <v>70</v>
      </c>
      <c r="B64" s="10">
        <v>9365</v>
      </c>
    </row>
    <row r="65" spans="1:2" x14ac:dyDescent="0.25">
      <c r="A65" s="2" t="s">
        <v>35</v>
      </c>
      <c r="B65" s="10">
        <v>9578</v>
      </c>
    </row>
    <row r="66" spans="1:2" x14ac:dyDescent="0.25">
      <c r="A66" s="2" t="s">
        <v>103</v>
      </c>
      <c r="B66" s="10">
        <v>9866</v>
      </c>
    </row>
    <row r="67" spans="1:2" x14ac:dyDescent="0.25">
      <c r="A67" s="2" t="s">
        <v>152</v>
      </c>
      <c r="B67" s="10">
        <v>47043</v>
      </c>
    </row>
    <row r="69" spans="1:2" x14ac:dyDescent="0.25">
      <c r="A69" s="2"/>
    </row>
    <row r="70" spans="1:2" x14ac:dyDescent="0.25">
      <c r="A70" s="5" t="s">
        <v>160</v>
      </c>
      <c r="B70" s="5"/>
    </row>
    <row r="72" spans="1:2" x14ac:dyDescent="0.25">
      <c r="A72" s="1" t="s">
        <v>161</v>
      </c>
      <c r="B72" t="s">
        <v>162</v>
      </c>
    </row>
    <row r="73" spans="1:2" x14ac:dyDescent="0.25">
      <c r="A73" s="2" t="s">
        <v>33</v>
      </c>
      <c r="B73" s="10">
        <v>2</v>
      </c>
    </row>
    <row r="74" spans="1:2" x14ac:dyDescent="0.25">
      <c r="A74" s="2" t="s">
        <v>53</v>
      </c>
      <c r="B74" s="10">
        <v>10</v>
      </c>
    </row>
    <row r="75" spans="1:2" x14ac:dyDescent="0.25">
      <c r="A75" s="2" t="s">
        <v>24</v>
      </c>
      <c r="B75" s="10">
        <v>7</v>
      </c>
    </row>
    <row r="76" spans="1:2" x14ac:dyDescent="0.25">
      <c r="A76" s="2" t="s">
        <v>36</v>
      </c>
      <c r="B76" s="10">
        <v>15</v>
      </c>
    </row>
    <row r="77" spans="1:2" x14ac:dyDescent="0.25">
      <c r="A77" s="2" t="s">
        <v>152</v>
      </c>
      <c r="B77" s="10">
        <v>34</v>
      </c>
    </row>
    <row r="81" spans="1:3" ht="26.25" x14ac:dyDescent="0.4">
      <c r="A81" s="6" t="s">
        <v>191</v>
      </c>
      <c r="B81" s="8"/>
      <c r="C81" s="8"/>
    </row>
    <row r="83" spans="1:3" x14ac:dyDescent="0.25">
      <c r="A83" s="5" t="s">
        <v>192</v>
      </c>
      <c r="B83" s="5"/>
    </row>
    <row r="84" spans="1:3" x14ac:dyDescent="0.25">
      <c r="A84" s="1" t="s">
        <v>158</v>
      </c>
      <c r="B84" t="s">
        <v>168</v>
      </c>
    </row>
    <row r="85" spans="1:3" x14ac:dyDescent="0.25">
      <c r="A85" s="2" t="s">
        <v>128</v>
      </c>
      <c r="B85" s="10">
        <v>985</v>
      </c>
    </row>
    <row r="86" spans="1:3" x14ac:dyDescent="0.25">
      <c r="A86" s="2" t="s">
        <v>35</v>
      </c>
      <c r="B86" s="10">
        <v>971</v>
      </c>
    </row>
    <row r="87" spans="1:3" x14ac:dyDescent="0.25">
      <c r="A87" s="2" t="s">
        <v>77</v>
      </c>
      <c r="B87" s="10">
        <v>934</v>
      </c>
    </row>
    <row r="88" spans="1:3" x14ac:dyDescent="0.25">
      <c r="A88" s="2" t="s">
        <v>151</v>
      </c>
      <c r="B88" s="10">
        <v>921</v>
      </c>
    </row>
    <row r="89" spans="1:3" x14ac:dyDescent="0.25">
      <c r="A89" s="2" t="s">
        <v>126</v>
      </c>
      <c r="B89" s="10">
        <v>919</v>
      </c>
    </row>
    <row r="90" spans="1:3" x14ac:dyDescent="0.25">
      <c r="A90" s="2" t="s">
        <v>152</v>
      </c>
      <c r="B90" s="10">
        <v>4730</v>
      </c>
    </row>
    <row r="93" spans="1:3" x14ac:dyDescent="0.25">
      <c r="A93" s="5" t="s">
        <v>193</v>
      </c>
      <c r="B93" s="5"/>
    </row>
    <row r="94" spans="1:3" x14ac:dyDescent="0.25">
      <c r="A94" s="1" t="s">
        <v>158</v>
      </c>
      <c r="B94" t="s">
        <v>167</v>
      </c>
    </row>
    <row r="95" spans="1:3" x14ac:dyDescent="0.25">
      <c r="A95" s="2" t="s">
        <v>49</v>
      </c>
      <c r="B95" s="10">
        <v>104</v>
      </c>
    </row>
    <row r="96" spans="1:3" x14ac:dyDescent="0.25">
      <c r="A96" s="2" t="s">
        <v>100</v>
      </c>
      <c r="B96" s="10">
        <v>109</v>
      </c>
    </row>
    <row r="97" spans="1:2" x14ac:dyDescent="0.25">
      <c r="A97" s="2" t="s">
        <v>78</v>
      </c>
      <c r="B97" s="10">
        <v>171</v>
      </c>
    </row>
    <row r="98" spans="1:2" x14ac:dyDescent="0.25">
      <c r="A98" s="2" t="s">
        <v>95</v>
      </c>
      <c r="B98" s="10">
        <v>206</v>
      </c>
    </row>
    <row r="99" spans="1:2" x14ac:dyDescent="0.25">
      <c r="A99" s="2" t="s">
        <v>23</v>
      </c>
      <c r="B99" s="10">
        <v>215</v>
      </c>
    </row>
    <row r="100" spans="1:2" x14ac:dyDescent="0.25">
      <c r="A100" s="2" t="s">
        <v>152</v>
      </c>
      <c r="B100" s="10">
        <v>805</v>
      </c>
    </row>
    <row r="114" spans="1:2" x14ac:dyDescent="0.25">
      <c r="A114" s="5" t="s">
        <v>195</v>
      </c>
      <c r="B114" s="5"/>
    </row>
    <row r="115" spans="1:2" x14ac:dyDescent="0.25">
      <c r="A115" s="1" t="s">
        <v>158</v>
      </c>
      <c r="B115" t="s">
        <v>169</v>
      </c>
    </row>
    <row r="116" spans="1:2" x14ac:dyDescent="0.25">
      <c r="A116" s="2" t="s">
        <v>103</v>
      </c>
      <c r="B116" s="10">
        <v>28</v>
      </c>
    </row>
    <row r="117" spans="1:2" x14ac:dyDescent="0.25">
      <c r="A117" s="2" t="s">
        <v>74</v>
      </c>
      <c r="B117" s="10">
        <v>28</v>
      </c>
    </row>
    <row r="118" spans="1:2" x14ac:dyDescent="0.25">
      <c r="A118" s="2" t="s">
        <v>106</v>
      </c>
      <c r="B118" s="10">
        <v>29</v>
      </c>
    </row>
    <row r="119" spans="1:2" x14ac:dyDescent="0.25">
      <c r="A119" s="2" t="s">
        <v>23</v>
      </c>
      <c r="B119" s="10">
        <v>29</v>
      </c>
    </row>
    <row r="120" spans="1:2" x14ac:dyDescent="0.25">
      <c r="A120" s="2" t="s">
        <v>82</v>
      </c>
      <c r="B120" s="10">
        <v>30</v>
      </c>
    </row>
    <row r="121" spans="1:2" x14ac:dyDescent="0.25">
      <c r="A121" s="2" t="s">
        <v>152</v>
      </c>
      <c r="B121" s="10">
        <v>144</v>
      </c>
    </row>
    <row r="125" spans="1:2" x14ac:dyDescent="0.25">
      <c r="A125" s="5" t="s">
        <v>172</v>
      </c>
      <c r="B125" s="5"/>
    </row>
    <row r="126" spans="1:2" x14ac:dyDescent="0.25">
      <c r="A126" s="1" t="s">
        <v>158</v>
      </c>
      <c r="B126" t="s">
        <v>171</v>
      </c>
    </row>
    <row r="127" spans="1:2" x14ac:dyDescent="0.25">
      <c r="A127" s="2" t="s">
        <v>122</v>
      </c>
      <c r="B127" s="10">
        <v>11</v>
      </c>
    </row>
    <row r="128" spans="1:2" x14ac:dyDescent="0.25">
      <c r="A128" s="2" t="s">
        <v>103</v>
      </c>
      <c r="B128" s="10">
        <v>14</v>
      </c>
    </row>
    <row r="129" spans="1:3" x14ac:dyDescent="0.25">
      <c r="A129" s="2" t="s">
        <v>78</v>
      </c>
      <c r="B129" s="10">
        <v>16</v>
      </c>
    </row>
    <row r="130" spans="1:3" x14ac:dyDescent="0.25">
      <c r="A130" s="2" t="s">
        <v>133</v>
      </c>
      <c r="B130" s="10">
        <v>20</v>
      </c>
    </row>
    <row r="131" spans="1:3" x14ac:dyDescent="0.25">
      <c r="A131" s="2" t="s">
        <v>100</v>
      </c>
      <c r="B131" s="10">
        <v>23</v>
      </c>
    </row>
    <row r="132" spans="1:3" x14ac:dyDescent="0.25">
      <c r="A132" s="2" t="s">
        <v>152</v>
      </c>
      <c r="B132" s="10">
        <v>84</v>
      </c>
    </row>
    <row r="137" spans="1:3" ht="26.25" x14ac:dyDescent="0.4">
      <c r="A137" s="6" t="s">
        <v>196</v>
      </c>
      <c r="B137" s="6"/>
      <c r="C137" s="6"/>
    </row>
    <row r="139" spans="1:3" x14ac:dyDescent="0.25">
      <c r="A139" s="5" t="s">
        <v>170</v>
      </c>
      <c r="B139" s="5"/>
    </row>
    <row r="140" spans="1:3" x14ac:dyDescent="0.25">
      <c r="A140" s="1" t="s">
        <v>158</v>
      </c>
      <c r="B140" t="s">
        <v>171</v>
      </c>
    </row>
    <row r="141" spans="1:3" x14ac:dyDescent="0.25">
      <c r="A141" s="2" t="s">
        <v>135</v>
      </c>
      <c r="B141" s="10">
        <v>98</v>
      </c>
    </row>
    <row r="142" spans="1:3" x14ac:dyDescent="0.25">
      <c r="A142" s="2" t="s">
        <v>120</v>
      </c>
      <c r="B142" s="10">
        <v>97</v>
      </c>
    </row>
    <row r="143" spans="1:3" x14ac:dyDescent="0.25">
      <c r="A143" s="2" t="s">
        <v>126</v>
      </c>
      <c r="B143" s="10">
        <v>81</v>
      </c>
    </row>
    <row r="144" spans="1:3" x14ac:dyDescent="0.25">
      <c r="A144" s="2" t="s">
        <v>113</v>
      </c>
      <c r="B144" s="10">
        <v>79</v>
      </c>
    </row>
    <row r="145" spans="1:3" x14ac:dyDescent="0.25">
      <c r="A145" s="2" t="s">
        <v>77</v>
      </c>
      <c r="B145" s="10">
        <v>78</v>
      </c>
    </row>
    <row r="146" spans="1:3" x14ac:dyDescent="0.25">
      <c r="A146" s="2" t="s">
        <v>152</v>
      </c>
      <c r="B146" s="10">
        <v>433</v>
      </c>
    </row>
    <row r="151" spans="1:3" x14ac:dyDescent="0.25">
      <c r="A151" s="5" t="s">
        <v>183</v>
      </c>
      <c r="B151" s="5"/>
    </row>
    <row r="152" spans="1:3" x14ac:dyDescent="0.25">
      <c r="A152" s="1" t="s">
        <v>174</v>
      </c>
      <c r="B152" t="s">
        <v>171</v>
      </c>
    </row>
    <row r="153" spans="1:3" x14ac:dyDescent="0.25">
      <c r="A153" s="2" t="s">
        <v>37</v>
      </c>
      <c r="B153" s="3">
        <v>213</v>
      </c>
    </row>
    <row r="154" spans="1:3" x14ac:dyDescent="0.25">
      <c r="A154" s="2" t="s">
        <v>59</v>
      </c>
      <c r="B154" s="3">
        <v>469</v>
      </c>
    </row>
    <row r="155" spans="1:3" x14ac:dyDescent="0.25">
      <c r="A155" s="2" t="s">
        <v>26</v>
      </c>
      <c r="B155" s="3">
        <v>230</v>
      </c>
    </row>
    <row r="156" spans="1:3" x14ac:dyDescent="0.25">
      <c r="A156" s="2" t="s">
        <v>50</v>
      </c>
      <c r="B156" s="3">
        <v>590</v>
      </c>
    </row>
    <row r="157" spans="1:3" x14ac:dyDescent="0.25">
      <c r="A157" s="2" t="s">
        <v>42</v>
      </c>
      <c r="B157" s="3">
        <v>145</v>
      </c>
    </row>
    <row r="160" spans="1:3" ht="26.25" x14ac:dyDescent="0.4">
      <c r="A160" s="6" t="s">
        <v>182</v>
      </c>
      <c r="B160" s="6"/>
      <c r="C160" s="6"/>
    </row>
    <row r="162" spans="1:5" x14ac:dyDescent="0.25">
      <c r="A162" s="5" t="s">
        <v>181</v>
      </c>
      <c r="B162" s="5"/>
    </row>
    <row r="163" spans="1:5" x14ac:dyDescent="0.25">
      <c r="A163" s="1" t="s">
        <v>180</v>
      </c>
      <c r="B163" s="1" t="s">
        <v>176</v>
      </c>
    </row>
    <row r="164" spans="1:5" x14ac:dyDescent="0.25">
      <c r="A164" s="1" t="s">
        <v>158</v>
      </c>
      <c r="B164" t="s">
        <v>44</v>
      </c>
      <c r="C164" t="s">
        <v>62</v>
      </c>
      <c r="D164" t="s">
        <v>28</v>
      </c>
    </row>
    <row r="165" spans="1:5" x14ac:dyDescent="0.25">
      <c r="A165" s="2" t="s">
        <v>37</v>
      </c>
      <c r="B165" s="10">
        <v>1</v>
      </c>
      <c r="C165" s="10">
        <v>3</v>
      </c>
      <c r="D165" s="10">
        <v>1</v>
      </c>
    </row>
    <row r="166" spans="1:5" x14ac:dyDescent="0.25">
      <c r="A166" s="2" t="s">
        <v>59</v>
      </c>
      <c r="B166" s="10">
        <v>4</v>
      </c>
      <c r="C166" s="10">
        <v>2</v>
      </c>
      <c r="D166" s="10">
        <v>4</v>
      </c>
    </row>
    <row r="167" spans="1:5" x14ac:dyDescent="0.25">
      <c r="A167" s="2" t="s">
        <v>26</v>
      </c>
      <c r="B167" s="10">
        <v>1</v>
      </c>
      <c r="C167" s="10"/>
      <c r="D167" s="10">
        <v>4</v>
      </c>
    </row>
    <row r="168" spans="1:5" x14ac:dyDescent="0.25">
      <c r="A168" s="2" t="s">
        <v>50</v>
      </c>
      <c r="B168" s="10">
        <v>7</v>
      </c>
      <c r="C168" s="10"/>
      <c r="D168" s="10">
        <v>3</v>
      </c>
    </row>
    <row r="169" spans="1:5" x14ac:dyDescent="0.25">
      <c r="A169" s="2" t="s">
        <v>42</v>
      </c>
      <c r="B169" s="10"/>
      <c r="C169" s="10">
        <v>1</v>
      </c>
      <c r="D169" s="10">
        <v>3</v>
      </c>
    </row>
    <row r="172" spans="1:5" x14ac:dyDescent="0.25">
      <c r="A172" s="5" t="s">
        <v>177</v>
      </c>
      <c r="B172" s="5"/>
      <c r="D172" s="7"/>
      <c r="E172" s="7"/>
    </row>
    <row r="173" spans="1:5" x14ac:dyDescent="0.25">
      <c r="A173" s="1" t="s">
        <v>174</v>
      </c>
      <c r="B173" t="s">
        <v>175</v>
      </c>
      <c r="C173" t="s">
        <v>178</v>
      </c>
      <c r="D173" t="s">
        <v>179</v>
      </c>
    </row>
    <row r="174" spans="1:5" x14ac:dyDescent="0.25">
      <c r="A174" s="2" t="s">
        <v>37</v>
      </c>
      <c r="B174" s="3">
        <v>4.2</v>
      </c>
      <c r="C174" s="3">
        <v>21.2</v>
      </c>
      <c r="D174" s="3">
        <v>16.399999999999999</v>
      </c>
    </row>
    <row r="175" spans="1:5" x14ac:dyDescent="0.25">
      <c r="A175" s="2" t="s">
        <v>59</v>
      </c>
      <c r="B175" s="3">
        <v>5.9</v>
      </c>
      <c r="C175" s="3">
        <v>21</v>
      </c>
      <c r="D175" s="3">
        <v>14.1</v>
      </c>
    </row>
    <row r="176" spans="1:5" x14ac:dyDescent="0.25">
      <c r="A176" s="2" t="s">
        <v>26</v>
      </c>
      <c r="B176" s="3">
        <v>5.6</v>
      </c>
      <c r="C176" s="3">
        <v>21.4</v>
      </c>
      <c r="D176" s="3">
        <v>16.399999999999999</v>
      </c>
    </row>
    <row r="177" spans="1:14" x14ac:dyDescent="0.25">
      <c r="A177" s="2" t="s">
        <v>50</v>
      </c>
      <c r="B177" s="3">
        <v>5.8</v>
      </c>
      <c r="C177" s="3">
        <v>14.5</v>
      </c>
      <c r="D177" s="3">
        <v>18.100000000000001</v>
      </c>
    </row>
    <row r="178" spans="1:14" x14ac:dyDescent="0.25">
      <c r="A178" s="2" t="s">
        <v>42</v>
      </c>
      <c r="B178" s="3">
        <v>6.25</v>
      </c>
      <c r="C178" s="3">
        <v>17</v>
      </c>
      <c r="D178" s="3">
        <v>23.5</v>
      </c>
    </row>
    <row r="181" spans="1:14" x14ac:dyDescent="0.25">
      <c r="N181" t="s">
        <v>184</v>
      </c>
    </row>
    <row r="182" spans="1:14" x14ac:dyDescent="0.25">
      <c r="A182" s="5" t="s">
        <v>185</v>
      </c>
      <c r="B182" s="5"/>
    </row>
    <row r="183" spans="1:14" x14ac:dyDescent="0.25">
      <c r="A183" s="1" t="s">
        <v>187</v>
      </c>
      <c r="B183" t="s">
        <v>186</v>
      </c>
    </row>
    <row r="184" spans="1:14" x14ac:dyDescent="0.25">
      <c r="A184" s="2" t="s">
        <v>34</v>
      </c>
      <c r="B184" s="3">
        <v>6.2222222222222223</v>
      </c>
    </row>
    <row r="185" spans="1:14" x14ac:dyDescent="0.25">
      <c r="A185" s="2" t="s">
        <v>25</v>
      </c>
      <c r="B185" s="3">
        <v>5.4736842105263159</v>
      </c>
    </row>
    <row r="186" spans="1:14" x14ac:dyDescent="0.25">
      <c r="A186" s="2" t="s">
        <v>41</v>
      </c>
      <c r="B186" s="3">
        <v>6.5</v>
      </c>
    </row>
    <row r="190" spans="1:14" x14ac:dyDescent="0.25">
      <c r="A190" s="5" t="s">
        <v>188</v>
      </c>
      <c r="B190" s="5"/>
    </row>
    <row r="191" spans="1:14" x14ac:dyDescent="0.25">
      <c r="A191" s="1" t="s">
        <v>20</v>
      </c>
      <c r="B191" t="s">
        <v>186</v>
      </c>
    </row>
    <row r="192" spans="1:14" x14ac:dyDescent="0.25">
      <c r="A192" s="2" t="s">
        <v>46</v>
      </c>
      <c r="B192" s="3">
        <v>6.1875</v>
      </c>
    </row>
    <row r="193" spans="1:2" x14ac:dyDescent="0.25">
      <c r="A193" s="2" t="s">
        <v>30</v>
      </c>
      <c r="B193" s="3">
        <v>4.416666666666667</v>
      </c>
    </row>
    <row r="194" spans="1:2" x14ac:dyDescent="0.25">
      <c r="A194" s="2" t="s">
        <v>39</v>
      </c>
      <c r="B194" s="3">
        <v>7.833333333333333</v>
      </c>
    </row>
    <row r="199" spans="1:2" x14ac:dyDescent="0.25">
      <c r="A199" s="5" t="s">
        <v>194</v>
      </c>
      <c r="B199" s="5"/>
    </row>
    <row r="200" spans="1:2" x14ac:dyDescent="0.25">
      <c r="A200" s="1" t="s">
        <v>210</v>
      </c>
      <c r="B200" t="s">
        <v>169</v>
      </c>
    </row>
    <row r="201" spans="1:2" x14ac:dyDescent="0.25">
      <c r="A201" s="2" t="s">
        <v>133</v>
      </c>
      <c r="B201" s="10">
        <v>1</v>
      </c>
    </row>
    <row r="202" spans="1:2" x14ac:dyDescent="0.25">
      <c r="A202" s="2" t="s">
        <v>151</v>
      </c>
      <c r="B202" s="10">
        <v>2</v>
      </c>
    </row>
    <row r="203" spans="1:2" x14ac:dyDescent="0.25">
      <c r="A203" s="2" t="s">
        <v>76</v>
      </c>
      <c r="B203" s="10">
        <v>3</v>
      </c>
    </row>
    <row r="204" spans="1:2" x14ac:dyDescent="0.25">
      <c r="A204" s="2" t="s">
        <v>64</v>
      </c>
      <c r="B204" s="10">
        <v>3</v>
      </c>
    </row>
    <row r="205" spans="1:2" x14ac:dyDescent="0.25">
      <c r="A205" s="2" t="s">
        <v>78</v>
      </c>
      <c r="B205" s="10">
        <v>4</v>
      </c>
    </row>
    <row r="206" spans="1:2" x14ac:dyDescent="0.25">
      <c r="A206" s="2" t="s">
        <v>152</v>
      </c>
      <c r="B206" s="10">
        <v>13</v>
      </c>
    </row>
  </sheetData>
  <mergeCells count="24">
    <mergeCell ref="A48:C48"/>
    <mergeCell ref="A1:C1"/>
    <mergeCell ref="A3:B3"/>
    <mergeCell ref="A12:B12"/>
    <mergeCell ref="A21:B21"/>
    <mergeCell ref="A32:B32"/>
    <mergeCell ref="A50:B50"/>
    <mergeCell ref="A59:B59"/>
    <mergeCell ref="A70:B70"/>
    <mergeCell ref="A81:C81"/>
    <mergeCell ref="A83:B83"/>
    <mergeCell ref="D172:E172"/>
    <mergeCell ref="A93:B93"/>
    <mergeCell ref="A199:B199"/>
    <mergeCell ref="A114:B114"/>
    <mergeCell ref="A125:B125"/>
    <mergeCell ref="A137:C137"/>
    <mergeCell ref="A139:B139"/>
    <mergeCell ref="A182:B182"/>
    <mergeCell ref="A190:B190"/>
    <mergeCell ref="A151:B151"/>
    <mergeCell ref="A160:C160"/>
    <mergeCell ref="A162:B162"/>
    <mergeCell ref="A172:B17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79429-B70A-48E8-84C7-C83337B96BC8}">
  <dimension ref="A1:X101"/>
  <sheetViews>
    <sheetView topLeftCell="O1" workbookViewId="0">
      <pane ySplit="1" topLeftCell="A81" activePane="bottomLeft" state="frozen"/>
      <selection pane="bottomLeft" activeCell="B85" sqref="B85"/>
    </sheetView>
  </sheetViews>
  <sheetFormatPr defaultRowHeight="15" x14ac:dyDescent="0.25"/>
  <cols>
    <col min="1" max="1" width="14.5703125" bestFit="1" customWidth="1"/>
    <col min="2" max="2" width="6.85546875" bestFit="1" customWidth="1"/>
    <col min="3" max="3" width="7.7109375" bestFit="1" customWidth="1"/>
    <col min="4" max="4" width="13.28515625" bestFit="1" customWidth="1"/>
    <col min="5" max="5" width="25.5703125" bestFit="1" customWidth="1"/>
    <col min="6" max="6" width="21" bestFit="1" customWidth="1"/>
    <col min="7" max="7" width="25.140625" bestFit="1" customWidth="1"/>
    <col min="8" max="8" width="13.7109375" bestFit="1" customWidth="1"/>
    <col min="9" max="9" width="21" bestFit="1" customWidth="1"/>
    <col min="10" max="10" width="18" bestFit="1" customWidth="1"/>
    <col min="11" max="11" width="16.5703125" bestFit="1" customWidth="1"/>
    <col min="12" max="12" width="18.140625" bestFit="1" customWidth="1"/>
    <col min="13" max="13" width="16" bestFit="1" customWidth="1"/>
    <col min="14" max="14" width="16.28515625" bestFit="1" customWidth="1"/>
    <col min="15" max="15" width="10.7109375" bestFit="1" customWidth="1"/>
    <col min="16" max="16" width="20.42578125" bestFit="1" customWidth="1"/>
    <col min="17" max="17" width="21.28515625" bestFit="1" customWidth="1"/>
    <col min="18" max="18" width="25.5703125" bestFit="1" customWidth="1"/>
    <col min="19" max="19" width="21.42578125" bestFit="1" customWidth="1"/>
    <col min="20" max="20" width="19.140625" bestFit="1" customWidth="1"/>
    <col min="21" max="21" width="14" bestFit="1" customWidth="1"/>
    <col min="22" max="22" width="23" bestFit="1" customWidth="1"/>
    <col min="23" max="23" width="9.42578125" bestFit="1" customWidth="1"/>
    <col min="24" max="24" width="8" bestFit="1" customWidth="1"/>
    <col min="25" max="25" width="25.7109375" bestFit="1" customWidth="1"/>
    <col min="26" max="26" width="29" bestFit="1" customWidth="1"/>
    <col min="27" max="27" width="9.42578125" bestFit="1" customWidth="1"/>
    <col min="28" max="28" width="8" bestFit="1" customWidth="1"/>
  </cols>
  <sheetData>
    <row r="1" spans="1:24" x14ac:dyDescent="0.25">
      <c r="A1" t="s">
        <v>0</v>
      </c>
      <c r="B1" t="s">
        <v>1</v>
      </c>
      <c r="C1" t="s">
        <v>2</v>
      </c>
      <c r="D1" t="s">
        <v>3</v>
      </c>
      <c r="E1" t="s">
        <v>4</v>
      </c>
      <c r="F1" t="s">
        <v>5</v>
      </c>
      <c r="G1" t="s">
        <v>6</v>
      </c>
      <c r="H1" t="s">
        <v>7</v>
      </c>
      <c r="I1" t="s">
        <v>165</v>
      </c>
      <c r="J1" t="s">
        <v>8</v>
      </c>
      <c r="K1" t="s">
        <v>9</v>
      </c>
      <c r="L1" t="s">
        <v>10</v>
      </c>
      <c r="M1" t="s">
        <v>11</v>
      </c>
      <c r="N1" t="s">
        <v>12</v>
      </c>
      <c r="O1" t="s">
        <v>13</v>
      </c>
      <c r="P1" t="s">
        <v>166</v>
      </c>
      <c r="Q1" t="s">
        <v>14</v>
      </c>
      <c r="R1" t="s">
        <v>15</v>
      </c>
      <c r="S1" t="s">
        <v>16</v>
      </c>
      <c r="T1" t="s">
        <v>17</v>
      </c>
      <c r="U1" t="s">
        <v>18</v>
      </c>
      <c r="V1" t="s">
        <v>19</v>
      </c>
      <c r="W1" t="s">
        <v>20</v>
      </c>
      <c r="X1" t="s">
        <v>21</v>
      </c>
    </row>
    <row r="2" spans="1:24" x14ac:dyDescent="0.25">
      <c r="A2" t="s">
        <v>22</v>
      </c>
      <c r="B2" t="s">
        <v>23</v>
      </c>
      <c r="C2">
        <v>70</v>
      </c>
      <c r="D2">
        <v>55</v>
      </c>
      <c r="E2">
        <v>802</v>
      </c>
      <c r="F2">
        <v>8662</v>
      </c>
      <c r="G2" t="s">
        <v>24</v>
      </c>
      <c r="H2">
        <v>58</v>
      </c>
      <c r="I2">
        <v>7</v>
      </c>
      <c r="J2">
        <v>96</v>
      </c>
      <c r="K2">
        <v>4</v>
      </c>
      <c r="L2" t="s">
        <v>25</v>
      </c>
      <c r="M2">
        <v>3</v>
      </c>
      <c r="N2" t="s">
        <v>26</v>
      </c>
      <c r="O2" t="s">
        <v>27</v>
      </c>
      <c r="P2">
        <v>29</v>
      </c>
      <c r="Q2">
        <v>215</v>
      </c>
      <c r="R2">
        <v>29</v>
      </c>
      <c r="S2">
        <v>46</v>
      </c>
      <c r="T2" t="s">
        <v>28</v>
      </c>
      <c r="U2">
        <v>0.226410361</v>
      </c>
      <c r="V2" t="s">
        <v>29</v>
      </c>
      <c r="W2" t="s">
        <v>30</v>
      </c>
      <c r="X2">
        <v>188</v>
      </c>
    </row>
    <row r="3" spans="1:24" x14ac:dyDescent="0.25">
      <c r="A3" t="s">
        <v>31</v>
      </c>
      <c r="B3" t="s">
        <v>32</v>
      </c>
      <c r="C3">
        <v>15</v>
      </c>
      <c r="D3">
        <v>95</v>
      </c>
      <c r="E3">
        <v>736</v>
      </c>
      <c r="F3">
        <v>7461</v>
      </c>
      <c r="G3" t="s">
        <v>33</v>
      </c>
      <c r="H3">
        <v>53</v>
      </c>
      <c r="I3">
        <v>30</v>
      </c>
      <c r="J3">
        <v>37</v>
      </c>
      <c r="K3">
        <v>2</v>
      </c>
      <c r="L3" t="s">
        <v>34</v>
      </c>
      <c r="M3">
        <v>10</v>
      </c>
      <c r="N3" t="s">
        <v>26</v>
      </c>
      <c r="O3" t="s">
        <v>27</v>
      </c>
      <c r="P3">
        <v>23</v>
      </c>
      <c r="Q3">
        <v>517</v>
      </c>
      <c r="R3">
        <v>30</v>
      </c>
      <c r="S3">
        <v>34</v>
      </c>
      <c r="T3" t="s">
        <v>28</v>
      </c>
      <c r="U3">
        <v>4.8540680260000002</v>
      </c>
      <c r="V3" t="s">
        <v>29</v>
      </c>
      <c r="W3" t="s">
        <v>30</v>
      </c>
      <c r="X3">
        <v>503</v>
      </c>
    </row>
    <row r="4" spans="1:24" x14ac:dyDescent="0.25">
      <c r="A4" t="s">
        <v>31</v>
      </c>
      <c r="B4" t="s">
        <v>61</v>
      </c>
      <c r="C4">
        <v>16</v>
      </c>
      <c r="D4">
        <v>11</v>
      </c>
      <c r="E4">
        <v>996</v>
      </c>
      <c r="F4">
        <v>2331</v>
      </c>
      <c r="G4" t="s">
        <v>24</v>
      </c>
      <c r="H4">
        <v>51</v>
      </c>
      <c r="I4">
        <v>13</v>
      </c>
      <c r="J4">
        <v>80</v>
      </c>
      <c r="K4">
        <v>2</v>
      </c>
      <c r="L4" t="s">
        <v>41</v>
      </c>
      <c r="M4">
        <v>9</v>
      </c>
      <c r="N4" t="s">
        <v>42</v>
      </c>
      <c r="O4" t="s">
        <v>43</v>
      </c>
      <c r="P4">
        <v>18</v>
      </c>
      <c r="Q4">
        <v>830</v>
      </c>
      <c r="R4">
        <v>5</v>
      </c>
      <c r="S4">
        <v>97</v>
      </c>
      <c r="T4" t="s">
        <v>62</v>
      </c>
      <c r="U4">
        <v>1.7273139280000001</v>
      </c>
      <c r="V4" t="s">
        <v>29</v>
      </c>
      <c r="W4" t="s">
        <v>30</v>
      </c>
      <c r="X4">
        <v>806</v>
      </c>
    </row>
    <row r="5" spans="1:24" x14ac:dyDescent="0.25">
      <c r="A5" t="s">
        <v>31</v>
      </c>
      <c r="B5" t="s">
        <v>63</v>
      </c>
      <c r="C5">
        <v>91</v>
      </c>
      <c r="D5">
        <v>95</v>
      </c>
      <c r="E5">
        <v>960</v>
      </c>
      <c r="F5">
        <v>6100</v>
      </c>
      <c r="G5" t="s">
        <v>33</v>
      </c>
      <c r="H5">
        <v>46</v>
      </c>
      <c r="I5">
        <v>23</v>
      </c>
      <c r="J5">
        <v>60</v>
      </c>
      <c r="K5">
        <v>1</v>
      </c>
      <c r="L5" t="s">
        <v>34</v>
      </c>
      <c r="M5">
        <v>5</v>
      </c>
      <c r="N5" t="s">
        <v>59</v>
      </c>
      <c r="O5" t="s">
        <v>43</v>
      </c>
      <c r="P5">
        <v>28</v>
      </c>
      <c r="Q5">
        <v>362</v>
      </c>
      <c r="R5">
        <v>11</v>
      </c>
      <c r="S5">
        <v>28</v>
      </c>
      <c r="T5" t="s">
        <v>28</v>
      </c>
      <c r="U5">
        <v>2.1169820999999998E-2</v>
      </c>
      <c r="V5" t="s">
        <v>38</v>
      </c>
      <c r="W5" t="s">
        <v>46</v>
      </c>
      <c r="X5">
        <v>127</v>
      </c>
    </row>
    <row r="6" spans="1:24" x14ac:dyDescent="0.25">
      <c r="A6" t="s">
        <v>22</v>
      </c>
      <c r="B6" t="s">
        <v>64</v>
      </c>
      <c r="C6">
        <v>71</v>
      </c>
      <c r="D6">
        <v>41</v>
      </c>
      <c r="E6">
        <v>336</v>
      </c>
      <c r="F6">
        <v>2874</v>
      </c>
      <c r="G6" t="s">
        <v>36</v>
      </c>
      <c r="H6">
        <v>100</v>
      </c>
      <c r="I6">
        <v>30</v>
      </c>
      <c r="J6">
        <v>85</v>
      </c>
      <c r="K6">
        <v>4</v>
      </c>
      <c r="L6" t="s">
        <v>34</v>
      </c>
      <c r="M6">
        <v>1</v>
      </c>
      <c r="N6" t="s">
        <v>50</v>
      </c>
      <c r="O6" t="s">
        <v>43</v>
      </c>
      <c r="P6">
        <v>3</v>
      </c>
      <c r="Q6">
        <v>563</v>
      </c>
      <c r="R6">
        <v>3</v>
      </c>
      <c r="S6">
        <v>32</v>
      </c>
      <c r="T6" t="s">
        <v>44</v>
      </c>
      <c r="U6">
        <v>2.161253748</v>
      </c>
      <c r="V6" t="s">
        <v>29</v>
      </c>
      <c r="W6" t="s">
        <v>30</v>
      </c>
      <c r="X6">
        <v>403</v>
      </c>
    </row>
    <row r="7" spans="1:24" x14ac:dyDescent="0.25">
      <c r="A7" t="s">
        <v>31</v>
      </c>
      <c r="B7" t="s">
        <v>65</v>
      </c>
      <c r="C7">
        <v>16</v>
      </c>
      <c r="D7">
        <v>5</v>
      </c>
      <c r="E7">
        <v>249</v>
      </c>
      <c r="F7">
        <v>4053</v>
      </c>
      <c r="G7" t="s">
        <v>53</v>
      </c>
      <c r="H7">
        <v>80</v>
      </c>
      <c r="I7">
        <v>8</v>
      </c>
      <c r="J7">
        <v>48</v>
      </c>
      <c r="K7">
        <v>9</v>
      </c>
      <c r="L7" t="s">
        <v>34</v>
      </c>
      <c r="M7">
        <v>10</v>
      </c>
      <c r="N7" t="s">
        <v>42</v>
      </c>
      <c r="O7" t="s">
        <v>51</v>
      </c>
      <c r="P7">
        <v>23</v>
      </c>
      <c r="Q7">
        <v>173</v>
      </c>
      <c r="R7">
        <v>10</v>
      </c>
      <c r="S7">
        <v>98</v>
      </c>
      <c r="T7" t="s">
        <v>28</v>
      </c>
      <c r="U7">
        <v>1.6310742300000001</v>
      </c>
      <c r="V7" t="s">
        <v>29</v>
      </c>
      <c r="W7" t="s">
        <v>30</v>
      </c>
      <c r="X7">
        <v>547</v>
      </c>
    </row>
    <row r="8" spans="1:24" x14ac:dyDescent="0.25">
      <c r="A8" t="s">
        <v>31</v>
      </c>
      <c r="B8" t="s">
        <v>66</v>
      </c>
      <c r="C8">
        <v>99</v>
      </c>
      <c r="D8">
        <v>26</v>
      </c>
      <c r="E8">
        <v>562</v>
      </c>
      <c r="F8">
        <v>8654</v>
      </c>
      <c r="G8" t="s">
        <v>24</v>
      </c>
      <c r="H8">
        <v>54</v>
      </c>
      <c r="I8">
        <v>29</v>
      </c>
      <c r="J8">
        <v>78</v>
      </c>
      <c r="K8">
        <v>5</v>
      </c>
      <c r="L8" t="s">
        <v>25</v>
      </c>
      <c r="M8">
        <v>2</v>
      </c>
      <c r="N8" t="s">
        <v>37</v>
      </c>
      <c r="O8" t="s">
        <v>43</v>
      </c>
      <c r="P8">
        <v>25</v>
      </c>
      <c r="Q8">
        <v>558</v>
      </c>
      <c r="R8">
        <v>14</v>
      </c>
      <c r="S8">
        <v>6</v>
      </c>
      <c r="T8" t="s">
        <v>28</v>
      </c>
      <c r="U8">
        <v>0.100682852</v>
      </c>
      <c r="V8" t="s">
        <v>38</v>
      </c>
      <c r="W8" t="s">
        <v>30</v>
      </c>
      <c r="X8">
        <v>929</v>
      </c>
    </row>
    <row r="9" spans="1:24" x14ac:dyDescent="0.25">
      <c r="A9" t="s">
        <v>31</v>
      </c>
      <c r="B9" t="s">
        <v>67</v>
      </c>
      <c r="C9">
        <v>37</v>
      </c>
      <c r="D9">
        <v>94</v>
      </c>
      <c r="E9">
        <v>469</v>
      </c>
      <c r="F9">
        <v>5442</v>
      </c>
      <c r="G9" t="s">
        <v>24</v>
      </c>
      <c r="H9">
        <v>9</v>
      </c>
      <c r="I9">
        <v>8</v>
      </c>
      <c r="J9">
        <v>69</v>
      </c>
      <c r="K9">
        <v>7</v>
      </c>
      <c r="L9" t="s">
        <v>25</v>
      </c>
      <c r="M9">
        <v>2</v>
      </c>
      <c r="N9" t="s">
        <v>37</v>
      </c>
      <c r="O9" t="s">
        <v>51</v>
      </c>
      <c r="P9">
        <v>14</v>
      </c>
      <c r="Q9">
        <v>580</v>
      </c>
      <c r="R9">
        <v>7</v>
      </c>
      <c r="S9">
        <v>97</v>
      </c>
      <c r="T9" t="s">
        <v>62</v>
      </c>
      <c r="U9">
        <v>2.2644057609999999</v>
      </c>
      <c r="V9" t="s">
        <v>54</v>
      </c>
      <c r="W9" t="s">
        <v>30</v>
      </c>
      <c r="X9">
        <v>128</v>
      </c>
    </row>
    <row r="10" spans="1:24" x14ac:dyDescent="0.25">
      <c r="A10" t="s">
        <v>31</v>
      </c>
      <c r="B10" t="s">
        <v>68</v>
      </c>
      <c r="C10">
        <v>8</v>
      </c>
      <c r="D10">
        <v>74</v>
      </c>
      <c r="E10">
        <v>280</v>
      </c>
      <c r="F10">
        <v>6454</v>
      </c>
      <c r="G10" t="s">
        <v>33</v>
      </c>
      <c r="H10">
        <v>2</v>
      </c>
      <c r="I10">
        <v>5</v>
      </c>
      <c r="J10">
        <v>78</v>
      </c>
      <c r="K10">
        <v>1</v>
      </c>
      <c r="L10" t="s">
        <v>25</v>
      </c>
      <c r="M10">
        <v>4</v>
      </c>
      <c r="N10" t="s">
        <v>37</v>
      </c>
      <c r="O10" t="s">
        <v>51</v>
      </c>
      <c r="P10">
        <v>3</v>
      </c>
      <c r="Q10">
        <v>399</v>
      </c>
      <c r="R10">
        <v>21</v>
      </c>
      <c r="S10">
        <v>77</v>
      </c>
      <c r="T10" t="s">
        <v>62</v>
      </c>
      <c r="U10">
        <v>1.0125630889999999</v>
      </c>
      <c r="V10" t="s">
        <v>38</v>
      </c>
      <c r="W10" t="s">
        <v>46</v>
      </c>
      <c r="X10">
        <v>866</v>
      </c>
    </row>
    <row r="11" spans="1:24" x14ac:dyDescent="0.25">
      <c r="A11" t="s">
        <v>55</v>
      </c>
      <c r="B11" t="s">
        <v>69</v>
      </c>
      <c r="C11">
        <v>81</v>
      </c>
      <c r="D11">
        <v>82</v>
      </c>
      <c r="E11">
        <v>126</v>
      </c>
      <c r="F11">
        <v>2629</v>
      </c>
      <c r="G11" t="s">
        <v>33</v>
      </c>
      <c r="H11">
        <v>45</v>
      </c>
      <c r="I11">
        <v>17</v>
      </c>
      <c r="J11">
        <v>85</v>
      </c>
      <c r="K11">
        <v>9</v>
      </c>
      <c r="L11" t="s">
        <v>41</v>
      </c>
      <c r="M11">
        <v>4</v>
      </c>
      <c r="N11" t="s">
        <v>37</v>
      </c>
      <c r="O11" t="s">
        <v>60</v>
      </c>
      <c r="P11">
        <v>7</v>
      </c>
      <c r="Q11">
        <v>453</v>
      </c>
      <c r="R11">
        <v>16</v>
      </c>
      <c r="S11">
        <v>48</v>
      </c>
      <c r="T11" t="s">
        <v>44</v>
      </c>
      <c r="U11">
        <v>0.102020755</v>
      </c>
      <c r="V11" t="s">
        <v>38</v>
      </c>
      <c r="W11" t="s">
        <v>39</v>
      </c>
      <c r="X11">
        <v>671</v>
      </c>
    </row>
    <row r="12" spans="1:24" x14ac:dyDescent="0.25">
      <c r="A12" t="s">
        <v>22</v>
      </c>
      <c r="B12" t="s">
        <v>70</v>
      </c>
      <c r="C12">
        <v>36</v>
      </c>
      <c r="D12">
        <v>23</v>
      </c>
      <c r="E12">
        <v>620</v>
      </c>
      <c r="F12">
        <v>9365</v>
      </c>
      <c r="G12" t="s">
        <v>36</v>
      </c>
      <c r="H12">
        <v>10</v>
      </c>
      <c r="I12">
        <v>10</v>
      </c>
      <c r="J12">
        <v>46</v>
      </c>
      <c r="K12">
        <v>8</v>
      </c>
      <c r="L12" t="s">
        <v>41</v>
      </c>
      <c r="M12">
        <v>4</v>
      </c>
      <c r="N12" t="s">
        <v>59</v>
      </c>
      <c r="O12" t="s">
        <v>43</v>
      </c>
      <c r="P12">
        <v>18</v>
      </c>
      <c r="Q12">
        <v>374</v>
      </c>
      <c r="R12">
        <v>17</v>
      </c>
      <c r="S12">
        <v>27</v>
      </c>
      <c r="T12" t="s">
        <v>28</v>
      </c>
      <c r="U12">
        <v>2.231939111</v>
      </c>
      <c r="V12" t="s">
        <v>54</v>
      </c>
      <c r="W12" t="s">
        <v>46</v>
      </c>
      <c r="X12">
        <v>593</v>
      </c>
    </row>
    <row r="13" spans="1:24" x14ac:dyDescent="0.25">
      <c r="A13" t="s">
        <v>31</v>
      </c>
      <c r="B13" t="s">
        <v>71</v>
      </c>
      <c r="C13">
        <v>51</v>
      </c>
      <c r="D13">
        <v>100</v>
      </c>
      <c r="E13">
        <v>187</v>
      </c>
      <c r="F13">
        <v>2553</v>
      </c>
      <c r="G13" t="s">
        <v>36</v>
      </c>
      <c r="H13">
        <v>48</v>
      </c>
      <c r="I13">
        <v>11</v>
      </c>
      <c r="J13">
        <v>94</v>
      </c>
      <c r="K13">
        <v>3</v>
      </c>
      <c r="L13" t="s">
        <v>34</v>
      </c>
      <c r="M13">
        <v>5</v>
      </c>
      <c r="N13" t="s">
        <v>50</v>
      </c>
      <c r="O13" t="s">
        <v>60</v>
      </c>
      <c r="P13">
        <v>20</v>
      </c>
      <c r="Q13">
        <v>694</v>
      </c>
      <c r="R13">
        <v>16</v>
      </c>
      <c r="S13">
        <v>82</v>
      </c>
      <c r="T13" t="s">
        <v>44</v>
      </c>
      <c r="U13">
        <v>3.6464508649999998</v>
      </c>
      <c r="V13" t="s">
        <v>29</v>
      </c>
      <c r="W13" t="s">
        <v>39</v>
      </c>
      <c r="X13">
        <v>477</v>
      </c>
    </row>
    <row r="14" spans="1:24" x14ac:dyDescent="0.25">
      <c r="A14" t="s">
        <v>22</v>
      </c>
      <c r="B14" t="s">
        <v>35</v>
      </c>
      <c r="C14">
        <v>11</v>
      </c>
      <c r="D14">
        <v>34</v>
      </c>
      <c r="E14">
        <v>8</v>
      </c>
      <c r="F14">
        <v>9578</v>
      </c>
      <c r="G14" t="s">
        <v>36</v>
      </c>
      <c r="H14">
        <v>1</v>
      </c>
      <c r="I14">
        <v>10</v>
      </c>
      <c r="J14">
        <v>88</v>
      </c>
      <c r="K14">
        <v>2</v>
      </c>
      <c r="L14" t="s">
        <v>25</v>
      </c>
      <c r="M14">
        <v>8</v>
      </c>
      <c r="N14" t="s">
        <v>37</v>
      </c>
      <c r="O14" t="s">
        <v>27</v>
      </c>
      <c r="P14">
        <v>12</v>
      </c>
      <c r="Q14">
        <v>971</v>
      </c>
      <c r="R14">
        <v>27</v>
      </c>
      <c r="S14">
        <v>31</v>
      </c>
      <c r="T14" t="s">
        <v>28</v>
      </c>
      <c r="U14">
        <v>4.5805926189999999</v>
      </c>
      <c r="V14" t="s">
        <v>38</v>
      </c>
      <c r="W14" t="s">
        <v>39</v>
      </c>
      <c r="X14">
        <v>142</v>
      </c>
    </row>
    <row r="15" spans="1:24" x14ac:dyDescent="0.25">
      <c r="A15" t="s">
        <v>31</v>
      </c>
      <c r="B15" t="s">
        <v>72</v>
      </c>
      <c r="C15">
        <v>96</v>
      </c>
      <c r="D15">
        <v>22</v>
      </c>
      <c r="E15">
        <v>320</v>
      </c>
      <c r="F15">
        <v>8128</v>
      </c>
      <c r="G15" t="s">
        <v>36</v>
      </c>
      <c r="H15">
        <v>27</v>
      </c>
      <c r="I15">
        <v>12</v>
      </c>
      <c r="J15">
        <v>68</v>
      </c>
      <c r="K15">
        <v>6</v>
      </c>
      <c r="L15" t="s">
        <v>34</v>
      </c>
      <c r="M15">
        <v>9</v>
      </c>
      <c r="N15" t="s">
        <v>37</v>
      </c>
      <c r="O15" t="s">
        <v>60</v>
      </c>
      <c r="P15">
        <v>29</v>
      </c>
      <c r="Q15">
        <v>309</v>
      </c>
      <c r="R15">
        <v>6</v>
      </c>
      <c r="S15">
        <v>66</v>
      </c>
      <c r="T15" t="s">
        <v>62</v>
      </c>
      <c r="U15">
        <v>4.2314165739999998</v>
      </c>
      <c r="V15" t="s">
        <v>38</v>
      </c>
      <c r="W15" t="s">
        <v>30</v>
      </c>
      <c r="X15">
        <v>494</v>
      </c>
    </row>
    <row r="16" spans="1:24" x14ac:dyDescent="0.25">
      <c r="A16" t="s">
        <v>55</v>
      </c>
      <c r="B16" t="s">
        <v>73</v>
      </c>
      <c r="C16">
        <v>85</v>
      </c>
      <c r="D16">
        <v>60</v>
      </c>
      <c r="E16">
        <v>601</v>
      </c>
      <c r="F16">
        <v>7087</v>
      </c>
      <c r="G16" t="s">
        <v>36</v>
      </c>
      <c r="H16">
        <v>69</v>
      </c>
      <c r="I16">
        <v>25</v>
      </c>
      <c r="J16">
        <v>7</v>
      </c>
      <c r="K16">
        <v>6</v>
      </c>
      <c r="L16" t="s">
        <v>25</v>
      </c>
      <c r="M16">
        <v>6</v>
      </c>
      <c r="N16" t="s">
        <v>42</v>
      </c>
      <c r="O16" t="s">
        <v>60</v>
      </c>
      <c r="P16">
        <v>19</v>
      </c>
      <c r="Q16">
        <v>791</v>
      </c>
      <c r="R16">
        <v>4</v>
      </c>
      <c r="S16">
        <v>62</v>
      </c>
      <c r="T16" t="s">
        <v>28</v>
      </c>
      <c r="U16">
        <v>1.8607568000000001E-2</v>
      </c>
      <c r="V16" t="s">
        <v>38</v>
      </c>
      <c r="W16" t="s">
        <v>39</v>
      </c>
      <c r="X16">
        <v>523</v>
      </c>
    </row>
    <row r="17" spans="1:24" x14ac:dyDescent="0.25">
      <c r="A17" t="s">
        <v>22</v>
      </c>
      <c r="B17" t="s">
        <v>74</v>
      </c>
      <c r="C17">
        <v>28</v>
      </c>
      <c r="D17">
        <v>55</v>
      </c>
      <c r="E17">
        <v>884</v>
      </c>
      <c r="F17">
        <v>2391</v>
      </c>
      <c r="G17" t="s">
        <v>36</v>
      </c>
      <c r="H17">
        <v>71</v>
      </c>
      <c r="I17">
        <v>1</v>
      </c>
      <c r="J17">
        <v>63</v>
      </c>
      <c r="K17">
        <v>10</v>
      </c>
      <c r="L17" t="s">
        <v>34</v>
      </c>
      <c r="M17">
        <v>10</v>
      </c>
      <c r="N17" t="s">
        <v>50</v>
      </c>
      <c r="O17" t="s">
        <v>43</v>
      </c>
      <c r="P17">
        <v>22</v>
      </c>
      <c r="Q17">
        <v>780</v>
      </c>
      <c r="R17">
        <v>28</v>
      </c>
      <c r="S17">
        <v>50</v>
      </c>
      <c r="T17" t="s">
        <v>44</v>
      </c>
      <c r="U17">
        <v>2.5912754730000001</v>
      </c>
      <c r="V17" t="s">
        <v>45</v>
      </c>
      <c r="W17" t="s">
        <v>39</v>
      </c>
      <c r="X17">
        <v>206</v>
      </c>
    </row>
    <row r="18" spans="1:24" x14ac:dyDescent="0.25">
      <c r="A18" t="s">
        <v>55</v>
      </c>
      <c r="B18" t="s">
        <v>75</v>
      </c>
      <c r="C18">
        <v>4</v>
      </c>
      <c r="D18">
        <v>30</v>
      </c>
      <c r="E18">
        <v>391</v>
      </c>
      <c r="F18">
        <v>8858</v>
      </c>
      <c r="G18" t="s">
        <v>36</v>
      </c>
      <c r="H18">
        <v>84</v>
      </c>
      <c r="I18">
        <v>5</v>
      </c>
      <c r="J18">
        <v>29</v>
      </c>
      <c r="K18">
        <v>7</v>
      </c>
      <c r="L18" t="s">
        <v>34</v>
      </c>
      <c r="M18">
        <v>3</v>
      </c>
      <c r="N18" t="s">
        <v>42</v>
      </c>
      <c r="O18" t="s">
        <v>43</v>
      </c>
      <c r="P18">
        <v>11</v>
      </c>
      <c r="Q18">
        <v>568</v>
      </c>
      <c r="R18">
        <v>29</v>
      </c>
      <c r="S18">
        <v>99</v>
      </c>
      <c r="T18" t="s">
        <v>28</v>
      </c>
      <c r="U18">
        <v>1.3422915630000001</v>
      </c>
      <c r="V18" t="s">
        <v>45</v>
      </c>
      <c r="W18" t="s">
        <v>46</v>
      </c>
      <c r="X18">
        <v>196</v>
      </c>
    </row>
    <row r="19" spans="1:24" x14ac:dyDescent="0.25">
      <c r="A19" t="s">
        <v>22</v>
      </c>
      <c r="B19" t="s">
        <v>76</v>
      </c>
      <c r="C19">
        <v>4</v>
      </c>
      <c r="D19">
        <v>32</v>
      </c>
      <c r="E19">
        <v>209</v>
      </c>
      <c r="F19">
        <v>9049</v>
      </c>
      <c r="G19" t="s">
        <v>53</v>
      </c>
      <c r="H19">
        <v>4</v>
      </c>
      <c r="I19">
        <v>26</v>
      </c>
      <c r="J19">
        <v>2</v>
      </c>
      <c r="K19">
        <v>8</v>
      </c>
      <c r="L19" t="s">
        <v>41</v>
      </c>
      <c r="M19">
        <v>10</v>
      </c>
      <c r="N19" t="s">
        <v>59</v>
      </c>
      <c r="O19" t="s">
        <v>51</v>
      </c>
      <c r="P19">
        <v>28</v>
      </c>
      <c r="Q19">
        <v>447</v>
      </c>
      <c r="R19">
        <v>3</v>
      </c>
      <c r="S19">
        <v>40</v>
      </c>
      <c r="T19" t="s">
        <v>28</v>
      </c>
      <c r="U19">
        <v>3.6913102929999999</v>
      </c>
      <c r="V19" t="s">
        <v>38</v>
      </c>
      <c r="W19" t="s">
        <v>46</v>
      </c>
      <c r="X19">
        <v>759</v>
      </c>
    </row>
    <row r="20" spans="1:24" x14ac:dyDescent="0.25">
      <c r="A20" t="s">
        <v>22</v>
      </c>
      <c r="B20" t="s">
        <v>77</v>
      </c>
      <c r="C20">
        <v>40</v>
      </c>
      <c r="D20">
        <v>73</v>
      </c>
      <c r="E20">
        <v>142</v>
      </c>
      <c r="F20">
        <v>2175</v>
      </c>
      <c r="G20" t="s">
        <v>53</v>
      </c>
      <c r="H20">
        <v>82</v>
      </c>
      <c r="I20">
        <v>11</v>
      </c>
      <c r="J20">
        <v>52</v>
      </c>
      <c r="K20">
        <v>3</v>
      </c>
      <c r="L20" t="s">
        <v>41</v>
      </c>
      <c r="M20">
        <v>2</v>
      </c>
      <c r="N20" t="s">
        <v>50</v>
      </c>
      <c r="O20" t="s">
        <v>43</v>
      </c>
      <c r="P20">
        <v>19</v>
      </c>
      <c r="Q20">
        <v>934</v>
      </c>
      <c r="R20">
        <v>23</v>
      </c>
      <c r="S20">
        <v>78</v>
      </c>
      <c r="T20" t="s">
        <v>28</v>
      </c>
      <c r="U20">
        <v>3.7972312170000002</v>
      </c>
      <c r="V20" t="s">
        <v>29</v>
      </c>
      <c r="W20" t="s">
        <v>30</v>
      </c>
      <c r="X20">
        <v>459</v>
      </c>
    </row>
    <row r="21" spans="1:24" x14ac:dyDescent="0.25">
      <c r="A21" t="s">
        <v>22</v>
      </c>
      <c r="B21" t="s">
        <v>78</v>
      </c>
      <c r="C21">
        <v>97</v>
      </c>
      <c r="D21">
        <v>9</v>
      </c>
      <c r="E21">
        <v>353</v>
      </c>
      <c r="F21">
        <v>3716</v>
      </c>
      <c r="G21" t="s">
        <v>53</v>
      </c>
      <c r="H21">
        <v>59</v>
      </c>
      <c r="I21">
        <v>16</v>
      </c>
      <c r="J21">
        <v>48</v>
      </c>
      <c r="K21">
        <v>4</v>
      </c>
      <c r="L21" t="s">
        <v>25</v>
      </c>
      <c r="M21">
        <v>7</v>
      </c>
      <c r="N21" t="s">
        <v>59</v>
      </c>
      <c r="O21" t="s">
        <v>51</v>
      </c>
      <c r="P21">
        <v>26</v>
      </c>
      <c r="Q21">
        <v>171</v>
      </c>
      <c r="R21">
        <v>4</v>
      </c>
      <c r="S21">
        <v>16</v>
      </c>
      <c r="T21" t="s">
        <v>62</v>
      </c>
      <c r="U21">
        <v>2.1193197370000001</v>
      </c>
      <c r="V21" t="s">
        <v>45</v>
      </c>
      <c r="W21" t="s">
        <v>46</v>
      </c>
      <c r="X21">
        <v>618</v>
      </c>
    </row>
    <row r="22" spans="1:24" x14ac:dyDescent="0.25">
      <c r="A22" t="s">
        <v>55</v>
      </c>
      <c r="B22" t="s">
        <v>79</v>
      </c>
      <c r="C22">
        <v>93</v>
      </c>
      <c r="D22">
        <v>42</v>
      </c>
      <c r="E22">
        <v>352</v>
      </c>
      <c r="F22">
        <v>2686</v>
      </c>
      <c r="G22" t="s">
        <v>36</v>
      </c>
      <c r="H22">
        <v>47</v>
      </c>
      <c r="I22">
        <v>9</v>
      </c>
      <c r="J22">
        <v>62</v>
      </c>
      <c r="K22">
        <v>8</v>
      </c>
      <c r="L22" t="s">
        <v>41</v>
      </c>
      <c r="M22">
        <v>7</v>
      </c>
      <c r="N22" t="s">
        <v>42</v>
      </c>
      <c r="O22" t="s">
        <v>27</v>
      </c>
      <c r="P22">
        <v>25</v>
      </c>
      <c r="Q22">
        <v>291</v>
      </c>
      <c r="R22">
        <v>4</v>
      </c>
      <c r="S22">
        <v>11</v>
      </c>
      <c r="T22" t="s">
        <v>44</v>
      </c>
      <c r="U22">
        <v>2.8646678379999999</v>
      </c>
      <c r="V22" t="s">
        <v>54</v>
      </c>
      <c r="W22" t="s">
        <v>30</v>
      </c>
      <c r="X22">
        <v>762</v>
      </c>
    </row>
    <row r="23" spans="1:24" x14ac:dyDescent="0.25">
      <c r="A23" t="s">
        <v>55</v>
      </c>
      <c r="B23" t="s">
        <v>80</v>
      </c>
      <c r="C23">
        <v>2</v>
      </c>
      <c r="D23">
        <v>12</v>
      </c>
      <c r="E23">
        <v>394</v>
      </c>
      <c r="F23">
        <v>6117</v>
      </c>
      <c r="G23" t="s">
        <v>33</v>
      </c>
      <c r="H23">
        <v>48</v>
      </c>
      <c r="I23">
        <v>15</v>
      </c>
      <c r="J23">
        <v>24</v>
      </c>
      <c r="K23">
        <v>4</v>
      </c>
      <c r="L23" t="s">
        <v>25</v>
      </c>
      <c r="M23">
        <v>10</v>
      </c>
      <c r="N23" t="s">
        <v>37</v>
      </c>
      <c r="O23" t="s">
        <v>27</v>
      </c>
      <c r="P23">
        <v>13</v>
      </c>
      <c r="Q23">
        <v>171</v>
      </c>
      <c r="R23">
        <v>7</v>
      </c>
      <c r="S23">
        <v>59</v>
      </c>
      <c r="T23" t="s">
        <v>44</v>
      </c>
      <c r="U23">
        <v>0.81575707900000005</v>
      </c>
      <c r="V23" t="s">
        <v>38</v>
      </c>
      <c r="W23" t="s">
        <v>46</v>
      </c>
      <c r="X23">
        <v>123</v>
      </c>
    </row>
    <row r="24" spans="1:24" x14ac:dyDescent="0.25">
      <c r="A24" t="s">
        <v>55</v>
      </c>
      <c r="B24" t="s">
        <v>81</v>
      </c>
      <c r="C24">
        <v>63</v>
      </c>
      <c r="D24">
        <v>3</v>
      </c>
      <c r="E24">
        <v>253</v>
      </c>
      <c r="F24">
        <v>8319</v>
      </c>
      <c r="G24" t="s">
        <v>33</v>
      </c>
      <c r="H24">
        <v>45</v>
      </c>
      <c r="I24">
        <v>5</v>
      </c>
      <c r="J24">
        <v>67</v>
      </c>
      <c r="K24">
        <v>7</v>
      </c>
      <c r="L24" t="s">
        <v>25</v>
      </c>
      <c r="M24">
        <v>8</v>
      </c>
      <c r="N24" t="s">
        <v>37</v>
      </c>
      <c r="O24" t="s">
        <v>43</v>
      </c>
      <c r="P24">
        <v>16</v>
      </c>
      <c r="Q24">
        <v>329</v>
      </c>
      <c r="R24">
        <v>7</v>
      </c>
      <c r="S24">
        <v>39</v>
      </c>
      <c r="T24" t="s">
        <v>62</v>
      </c>
      <c r="U24">
        <v>3.8780989369999999</v>
      </c>
      <c r="V24" t="s">
        <v>29</v>
      </c>
      <c r="W24" t="s">
        <v>30</v>
      </c>
      <c r="X24">
        <v>765</v>
      </c>
    </row>
    <row r="25" spans="1:24" x14ac:dyDescent="0.25">
      <c r="A25" t="s">
        <v>31</v>
      </c>
      <c r="B25" t="s">
        <v>40</v>
      </c>
      <c r="C25">
        <v>61</v>
      </c>
      <c r="D25">
        <v>68</v>
      </c>
      <c r="E25">
        <v>83</v>
      </c>
      <c r="F25">
        <v>7767</v>
      </c>
      <c r="G25" t="s">
        <v>24</v>
      </c>
      <c r="H25">
        <v>23</v>
      </c>
      <c r="I25">
        <v>13</v>
      </c>
      <c r="J25">
        <v>59</v>
      </c>
      <c r="K25">
        <v>6</v>
      </c>
      <c r="L25" t="s">
        <v>41</v>
      </c>
      <c r="M25">
        <v>2</v>
      </c>
      <c r="N25" t="s">
        <v>42</v>
      </c>
      <c r="O25" t="s">
        <v>43</v>
      </c>
      <c r="P25">
        <v>24</v>
      </c>
      <c r="Q25">
        <v>937</v>
      </c>
      <c r="R25">
        <v>18</v>
      </c>
      <c r="S25">
        <v>36</v>
      </c>
      <c r="T25" t="s">
        <v>44</v>
      </c>
      <c r="U25">
        <v>4.7466486210000003</v>
      </c>
      <c r="V25" t="s">
        <v>45</v>
      </c>
      <c r="W25" t="s">
        <v>46</v>
      </c>
      <c r="X25">
        <v>255</v>
      </c>
    </row>
    <row r="26" spans="1:24" x14ac:dyDescent="0.25">
      <c r="A26" t="s">
        <v>22</v>
      </c>
      <c r="B26" t="s">
        <v>82</v>
      </c>
      <c r="C26">
        <v>8</v>
      </c>
      <c r="D26">
        <v>10</v>
      </c>
      <c r="E26">
        <v>327</v>
      </c>
      <c r="F26">
        <v>2766</v>
      </c>
      <c r="G26" t="s">
        <v>53</v>
      </c>
      <c r="H26">
        <v>60</v>
      </c>
      <c r="I26">
        <v>26</v>
      </c>
      <c r="J26">
        <v>35</v>
      </c>
      <c r="K26">
        <v>7</v>
      </c>
      <c r="L26" t="s">
        <v>25</v>
      </c>
      <c r="M26">
        <v>9</v>
      </c>
      <c r="N26" t="s">
        <v>50</v>
      </c>
      <c r="O26" t="s">
        <v>43</v>
      </c>
      <c r="P26">
        <v>27</v>
      </c>
      <c r="Q26">
        <v>806</v>
      </c>
      <c r="R26">
        <v>30</v>
      </c>
      <c r="S26">
        <v>52</v>
      </c>
      <c r="T26" t="s">
        <v>28</v>
      </c>
      <c r="U26">
        <v>0.96539470500000002</v>
      </c>
      <c r="V26" t="s">
        <v>29</v>
      </c>
      <c r="W26" t="s">
        <v>39</v>
      </c>
      <c r="X26">
        <v>880</v>
      </c>
    </row>
    <row r="27" spans="1:24" x14ac:dyDescent="0.25">
      <c r="A27" t="s">
        <v>31</v>
      </c>
      <c r="B27" t="s">
        <v>83</v>
      </c>
      <c r="C27">
        <v>51</v>
      </c>
      <c r="D27">
        <v>28</v>
      </c>
      <c r="E27">
        <v>168</v>
      </c>
      <c r="F27">
        <v>9655</v>
      </c>
      <c r="G27" t="s">
        <v>53</v>
      </c>
      <c r="H27">
        <v>6</v>
      </c>
      <c r="I27">
        <v>17</v>
      </c>
      <c r="J27">
        <v>44</v>
      </c>
      <c r="K27">
        <v>4</v>
      </c>
      <c r="L27" t="s">
        <v>25</v>
      </c>
      <c r="M27">
        <v>3</v>
      </c>
      <c r="N27" t="s">
        <v>26</v>
      </c>
      <c r="O27" t="s">
        <v>60</v>
      </c>
      <c r="P27">
        <v>24</v>
      </c>
      <c r="Q27">
        <v>461</v>
      </c>
      <c r="R27">
        <v>8</v>
      </c>
      <c r="S27">
        <v>60</v>
      </c>
      <c r="T27" t="s">
        <v>28</v>
      </c>
      <c r="U27">
        <v>2.989000007</v>
      </c>
      <c r="V27" t="s">
        <v>45</v>
      </c>
      <c r="W27" t="s">
        <v>39</v>
      </c>
      <c r="X27">
        <v>609</v>
      </c>
    </row>
    <row r="28" spans="1:24" x14ac:dyDescent="0.25">
      <c r="A28" t="s">
        <v>31</v>
      </c>
      <c r="B28" t="s">
        <v>84</v>
      </c>
      <c r="C28">
        <v>79</v>
      </c>
      <c r="D28">
        <v>43</v>
      </c>
      <c r="E28">
        <v>781</v>
      </c>
      <c r="F28">
        <v>9572</v>
      </c>
      <c r="G28" t="s">
        <v>36</v>
      </c>
      <c r="H28">
        <v>89</v>
      </c>
      <c r="I28">
        <v>13</v>
      </c>
      <c r="J28">
        <v>64</v>
      </c>
      <c r="K28">
        <v>4</v>
      </c>
      <c r="L28" t="s">
        <v>41</v>
      </c>
      <c r="M28">
        <v>7</v>
      </c>
      <c r="N28" t="s">
        <v>26</v>
      </c>
      <c r="O28" t="s">
        <v>43</v>
      </c>
      <c r="P28">
        <v>30</v>
      </c>
      <c r="Q28">
        <v>737</v>
      </c>
      <c r="R28">
        <v>7</v>
      </c>
      <c r="S28">
        <v>30</v>
      </c>
      <c r="T28" t="s">
        <v>62</v>
      </c>
      <c r="U28">
        <v>1.946036119</v>
      </c>
      <c r="V28" t="s">
        <v>29</v>
      </c>
      <c r="W28" t="s">
        <v>46</v>
      </c>
      <c r="X28">
        <v>761</v>
      </c>
    </row>
    <row r="29" spans="1:24" x14ac:dyDescent="0.25">
      <c r="A29" t="s">
        <v>55</v>
      </c>
      <c r="B29" t="s">
        <v>85</v>
      </c>
      <c r="C29">
        <v>65</v>
      </c>
      <c r="D29">
        <v>63</v>
      </c>
      <c r="E29">
        <v>616</v>
      </c>
      <c r="F29">
        <v>5150</v>
      </c>
      <c r="G29" t="s">
        <v>24</v>
      </c>
      <c r="H29">
        <v>4</v>
      </c>
      <c r="I29">
        <v>17</v>
      </c>
      <c r="J29">
        <v>95</v>
      </c>
      <c r="K29">
        <v>9</v>
      </c>
      <c r="L29" t="s">
        <v>41</v>
      </c>
      <c r="M29">
        <v>5</v>
      </c>
      <c r="N29" t="s">
        <v>42</v>
      </c>
      <c r="O29" t="s">
        <v>60</v>
      </c>
      <c r="P29">
        <v>1</v>
      </c>
      <c r="Q29">
        <v>251</v>
      </c>
      <c r="R29">
        <v>23</v>
      </c>
      <c r="S29">
        <v>24</v>
      </c>
      <c r="T29" t="s">
        <v>44</v>
      </c>
      <c r="U29">
        <v>3.5410460119999998</v>
      </c>
      <c r="V29" t="s">
        <v>54</v>
      </c>
      <c r="W29" t="s">
        <v>46</v>
      </c>
      <c r="X29">
        <v>371</v>
      </c>
    </row>
    <row r="30" spans="1:24" x14ac:dyDescent="0.25">
      <c r="A30" t="s">
        <v>31</v>
      </c>
      <c r="B30" t="s">
        <v>86</v>
      </c>
      <c r="C30">
        <v>37</v>
      </c>
      <c r="D30">
        <v>96</v>
      </c>
      <c r="E30">
        <v>602</v>
      </c>
      <c r="F30">
        <v>9062</v>
      </c>
      <c r="G30" t="s">
        <v>36</v>
      </c>
      <c r="H30">
        <v>1</v>
      </c>
      <c r="I30">
        <v>26</v>
      </c>
      <c r="J30">
        <v>21</v>
      </c>
      <c r="K30">
        <v>7</v>
      </c>
      <c r="L30" t="s">
        <v>34</v>
      </c>
      <c r="M30">
        <v>1</v>
      </c>
      <c r="N30" t="s">
        <v>37</v>
      </c>
      <c r="O30" t="s">
        <v>60</v>
      </c>
      <c r="P30">
        <v>4</v>
      </c>
      <c r="Q30">
        <v>452</v>
      </c>
      <c r="R30">
        <v>10</v>
      </c>
      <c r="S30">
        <v>11</v>
      </c>
      <c r="T30" t="s">
        <v>62</v>
      </c>
      <c r="U30">
        <v>0.64660455900000002</v>
      </c>
      <c r="V30" t="s">
        <v>29</v>
      </c>
      <c r="W30" t="s">
        <v>30</v>
      </c>
      <c r="X30">
        <v>510</v>
      </c>
    </row>
    <row r="31" spans="1:24" x14ac:dyDescent="0.25">
      <c r="A31" t="s">
        <v>55</v>
      </c>
      <c r="B31" t="s">
        <v>87</v>
      </c>
      <c r="C31">
        <v>85</v>
      </c>
      <c r="D31">
        <v>11</v>
      </c>
      <c r="E31">
        <v>449</v>
      </c>
      <c r="F31">
        <v>6541</v>
      </c>
      <c r="G31" t="s">
        <v>33</v>
      </c>
      <c r="H31">
        <v>42</v>
      </c>
      <c r="I31">
        <v>27</v>
      </c>
      <c r="J31">
        <v>85</v>
      </c>
      <c r="K31">
        <v>8</v>
      </c>
      <c r="L31" t="s">
        <v>41</v>
      </c>
      <c r="M31">
        <v>5</v>
      </c>
      <c r="N31" t="s">
        <v>37</v>
      </c>
      <c r="O31" t="s">
        <v>48</v>
      </c>
      <c r="P31">
        <v>3</v>
      </c>
      <c r="Q31">
        <v>367</v>
      </c>
      <c r="R31">
        <v>2</v>
      </c>
      <c r="S31">
        <v>58</v>
      </c>
      <c r="T31" t="s">
        <v>62</v>
      </c>
      <c r="U31">
        <v>0.54115409800000003</v>
      </c>
      <c r="V31" t="s">
        <v>54</v>
      </c>
      <c r="W31" t="s">
        <v>39</v>
      </c>
      <c r="X31">
        <v>553</v>
      </c>
    </row>
    <row r="32" spans="1:24" x14ac:dyDescent="0.25">
      <c r="A32" t="s">
        <v>31</v>
      </c>
      <c r="B32" t="s">
        <v>88</v>
      </c>
      <c r="C32">
        <v>10</v>
      </c>
      <c r="D32">
        <v>34</v>
      </c>
      <c r="E32">
        <v>963</v>
      </c>
      <c r="F32">
        <v>7573</v>
      </c>
      <c r="G32" t="s">
        <v>33</v>
      </c>
      <c r="H32">
        <v>18</v>
      </c>
      <c r="I32">
        <v>23</v>
      </c>
      <c r="J32">
        <v>28</v>
      </c>
      <c r="K32">
        <v>3</v>
      </c>
      <c r="L32" t="s">
        <v>25</v>
      </c>
      <c r="M32">
        <v>2</v>
      </c>
      <c r="N32" t="s">
        <v>59</v>
      </c>
      <c r="O32" t="s">
        <v>48</v>
      </c>
      <c r="P32">
        <v>26</v>
      </c>
      <c r="Q32">
        <v>671</v>
      </c>
      <c r="R32">
        <v>19</v>
      </c>
      <c r="S32">
        <v>46</v>
      </c>
      <c r="T32" t="s">
        <v>44</v>
      </c>
      <c r="U32">
        <v>3.8055333789999999</v>
      </c>
      <c r="V32" t="s">
        <v>38</v>
      </c>
      <c r="W32" t="s">
        <v>39</v>
      </c>
      <c r="X32">
        <v>404</v>
      </c>
    </row>
    <row r="33" spans="1:24" x14ac:dyDescent="0.25">
      <c r="A33" t="s">
        <v>31</v>
      </c>
      <c r="B33" t="s">
        <v>89</v>
      </c>
      <c r="C33">
        <v>23</v>
      </c>
      <c r="D33">
        <v>5</v>
      </c>
      <c r="E33">
        <v>963</v>
      </c>
      <c r="F33">
        <v>2438</v>
      </c>
      <c r="G33" t="s">
        <v>33</v>
      </c>
      <c r="H33">
        <v>25</v>
      </c>
      <c r="I33">
        <v>8</v>
      </c>
      <c r="J33">
        <v>21</v>
      </c>
      <c r="K33">
        <v>9</v>
      </c>
      <c r="L33" t="s">
        <v>34</v>
      </c>
      <c r="M33">
        <v>2</v>
      </c>
      <c r="N33" t="s">
        <v>26</v>
      </c>
      <c r="O33" t="s">
        <v>43</v>
      </c>
      <c r="P33">
        <v>24</v>
      </c>
      <c r="Q33">
        <v>867</v>
      </c>
      <c r="R33">
        <v>15</v>
      </c>
      <c r="S33">
        <v>34</v>
      </c>
      <c r="T33" t="s">
        <v>28</v>
      </c>
      <c r="U33">
        <v>2.6102880850000001</v>
      </c>
      <c r="V33" t="s">
        <v>54</v>
      </c>
      <c r="W33" t="s">
        <v>46</v>
      </c>
      <c r="X33">
        <v>184</v>
      </c>
    </row>
    <row r="34" spans="1:24" x14ac:dyDescent="0.25">
      <c r="A34" t="s">
        <v>55</v>
      </c>
      <c r="B34" t="s">
        <v>90</v>
      </c>
      <c r="C34">
        <v>52</v>
      </c>
      <c r="D34">
        <v>75</v>
      </c>
      <c r="E34">
        <v>705</v>
      </c>
      <c r="F34">
        <v>9692</v>
      </c>
      <c r="G34" t="s">
        <v>24</v>
      </c>
      <c r="H34">
        <v>69</v>
      </c>
      <c r="I34">
        <v>1</v>
      </c>
      <c r="J34">
        <v>88</v>
      </c>
      <c r="K34">
        <v>5</v>
      </c>
      <c r="L34" t="s">
        <v>25</v>
      </c>
      <c r="M34">
        <v>9</v>
      </c>
      <c r="N34" t="s">
        <v>42</v>
      </c>
      <c r="O34" t="s">
        <v>27</v>
      </c>
      <c r="P34">
        <v>10</v>
      </c>
      <c r="Q34">
        <v>841</v>
      </c>
      <c r="R34">
        <v>12</v>
      </c>
      <c r="S34">
        <v>6</v>
      </c>
      <c r="T34" t="s">
        <v>28</v>
      </c>
      <c r="U34">
        <v>0.61332689900000004</v>
      </c>
      <c r="V34" t="s">
        <v>38</v>
      </c>
      <c r="W34" t="s">
        <v>30</v>
      </c>
      <c r="X34">
        <v>340</v>
      </c>
    </row>
    <row r="35" spans="1:24" x14ac:dyDescent="0.25">
      <c r="A35" t="s">
        <v>31</v>
      </c>
      <c r="B35" t="s">
        <v>91</v>
      </c>
      <c r="C35">
        <v>19</v>
      </c>
      <c r="D35">
        <v>26</v>
      </c>
      <c r="E35">
        <v>176</v>
      </c>
      <c r="F35">
        <v>1912</v>
      </c>
      <c r="G35" t="s">
        <v>33</v>
      </c>
      <c r="H35">
        <v>78</v>
      </c>
      <c r="I35">
        <v>29</v>
      </c>
      <c r="J35">
        <v>34</v>
      </c>
      <c r="K35">
        <v>3</v>
      </c>
      <c r="L35" t="s">
        <v>34</v>
      </c>
      <c r="M35">
        <v>6</v>
      </c>
      <c r="N35" t="s">
        <v>59</v>
      </c>
      <c r="O35" t="s">
        <v>43</v>
      </c>
      <c r="P35">
        <v>30</v>
      </c>
      <c r="Q35">
        <v>791</v>
      </c>
      <c r="R35">
        <v>6</v>
      </c>
      <c r="S35">
        <v>9</v>
      </c>
      <c r="T35" t="s">
        <v>44</v>
      </c>
      <c r="U35">
        <v>1.451972204</v>
      </c>
      <c r="V35" t="s">
        <v>38</v>
      </c>
      <c r="W35" t="s">
        <v>30</v>
      </c>
      <c r="X35">
        <v>654</v>
      </c>
    </row>
    <row r="36" spans="1:24" x14ac:dyDescent="0.25">
      <c r="A36" t="s">
        <v>31</v>
      </c>
      <c r="B36" t="s">
        <v>47</v>
      </c>
      <c r="C36">
        <v>5</v>
      </c>
      <c r="D36">
        <v>26</v>
      </c>
      <c r="E36">
        <v>871</v>
      </c>
      <c r="F36">
        <v>2687</v>
      </c>
      <c r="G36" t="s">
        <v>24</v>
      </c>
      <c r="H36">
        <v>5</v>
      </c>
      <c r="I36">
        <v>3</v>
      </c>
      <c r="J36">
        <v>56</v>
      </c>
      <c r="K36">
        <v>8</v>
      </c>
      <c r="L36" t="s">
        <v>34</v>
      </c>
      <c r="M36">
        <v>4</v>
      </c>
      <c r="N36" t="s">
        <v>37</v>
      </c>
      <c r="O36" t="s">
        <v>48</v>
      </c>
      <c r="P36">
        <v>5</v>
      </c>
      <c r="Q36">
        <v>414</v>
      </c>
      <c r="R36">
        <v>3</v>
      </c>
      <c r="S36">
        <v>92</v>
      </c>
      <c r="T36" t="s">
        <v>44</v>
      </c>
      <c r="U36">
        <v>3.1455795229999999</v>
      </c>
      <c r="V36" t="s">
        <v>38</v>
      </c>
      <c r="W36" t="s">
        <v>46</v>
      </c>
      <c r="X36">
        <v>923</v>
      </c>
    </row>
    <row r="37" spans="1:24" x14ac:dyDescent="0.25">
      <c r="A37" t="s">
        <v>31</v>
      </c>
      <c r="B37" t="s">
        <v>92</v>
      </c>
      <c r="C37">
        <v>81</v>
      </c>
      <c r="D37">
        <v>97</v>
      </c>
      <c r="E37">
        <v>933</v>
      </c>
      <c r="F37">
        <v>5725</v>
      </c>
      <c r="G37" t="s">
        <v>33</v>
      </c>
      <c r="H37">
        <v>90</v>
      </c>
      <c r="I37">
        <v>20</v>
      </c>
      <c r="J37">
        <v>39</v>
      </c>
      <c r="K37">
        <v>8</v>
      </c>
      <c r="L37" t="s">
        <v>41</v>
      </c>
      <c r="M37">
        <v>7</v>
      </c>
      <c r="N37" t="s">
        <v>37</v>
      </c>
      <c r="O37" t="s">
        <v>43</v>
      </c>
      <c r="P37">
        <v>18</v>
      </c>
      <c r="Q37">
        <v>793</v>
      </c>
      <c r="R37">
        <v>1</v>
      </c>
      <c r="S37">
        <v>88</v>
      </c>
      <c r="T37" t="s">
        <v>28</v>
      </c>
      <c r="U37">
        <v>4.2132694309999996</v>
      </c>
      <c r="V37" t="s">
        <v>29</v>
      </c>
      <c r="W37" t="s">
        <v>46</v>
      </c>
      <c r="X37">
        <v>530</v>
      </c>
    </row>
    <row r="38" spans="1:24" x14ac:dyDescent="0.25">
      <c r="A38" t="s">
        <v>31</v>
      </c>
      <c r="B38" t="s">
        <v>93</v>
      </c>
      <c r="C38">
        <v>99</v>
      </c>
      <c r="D38">
        <v>35</v>
      </c>
      <c r="E38">
        <v>556</v>
      </c>
      <c r="F38">
        <v>5521</v>
      </c>
      <c r="G38" t="s">
        <v>33</v>
      </c>
      <c r="H38">
        <v>64</v>
      </c>
      <c r="I38">
        <v>19</v>
      </c>
      <c r="J38">
        <v>38</v>
      </c>
      <c r="K38">
        <v>8</v>
      </c>
      <c r="L38" t="s">
        <v>25</v>
      </c>
      <c r="M38">
        <v>6</v>
      </c>
      <c r="N38" t="s">
        <v>50</v>
      </c>
      <c r="O38" t="s">
        <v>60</v>
      </c>
      <c r="P38">
        <v>18</v>
      </c>
      <c r="Q38">
        <v>892</v>
      </c>
      <c r="R38">
        <v>7</v>
      </c>
      <c r="S38">
        <v>95</v>
      </c>
      <c r="T38" t="s">
        <v>44</v>
      </c>
      <c r="U38">
        <v>4.5302262000000003E-2</v>
      </c>
      <c r="V38" t="s">
        <v>54</v>
      </c>
      <c r="W38" t="s">
        <v>46</v>
      </c>
      <c r="X38">
        <v>276</v>
      </c>
    </row>
    <row r="39" spans="1:24" x14ac:dyDescent="0.25">
      <c r="A39" t="s">
        <v>31</v>
      </c>
      <c r="B39" t="s">
        <v>94</v>
      </c>
      <c r="C39">
        <v>47</v>
      </c>
      <c r="D39">
        <v>98</v>
      </c>
      <c r="E39">
        <v>155</v>
      </c>
      <c r="F39">
        <v>1840</v>
      </c>
      <c r="G39" t="s">
        <v>33</v>
      </c>
      <c r="H39">
        <v>22</v>
      </c>
      <c r="I39">
        <v>27</v>
      </c>
      <c r="J39">
        <v>57</v>
      </c>
      <c r="K39">
        <v>4</v>
      </c>
      <c r="L39" t="s">
        <v>41</v>
      </c>
      <c r="M39">
        <v>8</v>
      </c>
      <c r="N39" t="s">
        <v>42</v>
      </c>
      <c r="O39" t="s">
        <v>51</v>
      </c>
      <c r="P39">
        <v>26</v>
      </c>
      <c r="Q39">
        <v>179</v>
      </c>
      <c r="R39">
        <v>7</v>
      </c>
      <c r="S39">
        <v>96</v>
      </c>
      <c r="T39" t="s">
        <v>44</v>
      </c>
      <c r="U39">
        <v>4.9392552890000001</v>
      </c>
      <c r="V39" t="s">
        <v>29</v>
      </c>
      <c r="W39" t="s">
        <v>46</v>
      </c>
      <c r="X39">
        <v>636</v>
      </c>
    </row>
    <row r="40" spans="1:24" x14ac:dyDescent="0.25">
      <c r="A40" t="s">
        <v>22</v>
      </c>
      <c r="B40" t="s">
        <v>95</v>
      </c>
      <c r="C40">
        <v>12</v>
      </c>
      <c r="D40">
        <v>6</v>
      </c>
      <c r="E40">
        <v>598</v>
      </c>
      <c r="F40">
        <v>5737</v>
      </c>
      <c r="G40" t="s">
        <v>36</v>
      </c>
      <c r="H40">
        <v>36</v>
      </c>
      <c r="I40">
        <v>29</v>
      </c>
      <c r="J40">
        <v>85</v>
      </c>
      <c r="K40">
        <v>9</v>
      </c>
      <c r="L40" t="s">
        <v>25</v>
      </c>
      <c r="M40">
        <v>4</v>
      </c>
      <c r="N40" t="s">
        <v>42</v>
      </c>
      <c r="O40" t="s">
        <v>27</v>
      </c>
      <c r="P40">
        <v>1</v>
      </c>
      <c r="Q40">
        <v>206</v>
      </c>
      <c r="R40">
        <v>23</v>
      </c>
      <c r="S40">
        <v>26</v>
      </c>
      <c r="T40" t="s">
        <v>28</v>
      </c>
      <c r="U40">
        <v>0.37230476800000001</v>
      </c>
      <c r="V40" t="s">
        <v>38</v>
      </c>
      <c r="W40" t="s">
        <v>46</v>
      </c>
      <c r="X40">
        <v>716</v>
      </c>
    </row>
    <row r="41" spans="1:24" x14ac:dyDescent="0.25">
      <c r="A41" t="s">
        <v>55</v>
      </c>
      <c r="B41" t="s">
        <v>96</v>
      </c>
      <c r="C41">
        <v>51</v>
      </c>
      <c r="D41">
        <v>34</v>
      </c>
      <c r="E41">
        <v>919</v>
      </c>
      <c r="F41">
        <v>7152</v>
      </c>
      <c r="G41" t="s">
        <v>33</v>
      </c>
      <c r="H41">
        <v>13</v>
      </c>
      <c r="I41">
        <v>19</v>
      </c>
      <c r="J41">
        <v>72</v>
      </c>
      <c r="K41">
        <v>6</v>
      </c>
      <c r="L41" t="s">
        <v>41</v>
      </c>
      <c r="M41">
        <v>8</v>
      </c>
      <c r="N41" t="s">
        <v>59</v>
      </c>
      <c r="O41" t="s">
        <v>48</v>
      </c>
      <c r="P41">
        <v>7</v>
      </c>
      <c r="Q41">
        <v>834</v>
      </c>
      <c r="R41">
        <v>18</v>
      </c>
      <c r="S41">
        <v>23</v>
      </c>
      <c r="T41" t="s">
        <v>44</v>
      </c>
      <c r="U41">
        <v>2.96262632</v>
      </c>
      <c r="V41" t="s">
        <v>45</v>
      </c>
      <c r="W41" t="s">
        <v>46</v>
      </c>
      <c r="X41">
        <v>610</v>
      </c>
    </row>
    <row r="42" spans="1:24" x14ac:dyDescent="0.25">
      <c r="A42" t="s">
        <v>22</v>
      </c>
      <c r="B42" t="s">
        <v>97</v>
      </c>
      <c r="C42">
        <v>34</v>
      </c>
      <c r="D42">
        <v>1</v>
      </c>
      <c r="E42">
        <v>24</v>
      </c>
      <c r="F42">
        <v>5268</v>
      </c>
      <c r="G42" t="s">
        <v>53</v>
      </c>
      <c r="H42">
        <v>93</v>
      </c>
      <c r="I42">
        <v>7</v>
      </c>
      <c r="J42">
        <v>52</v>
      </c>
      <c r="K42">
        <v>6</v>
      </c>
      <c r="L42" t="s">
        <v>25</v>
      </c>
      <c r="M42">
        <v>5</v>
      </c>
      <c r="N42" t="s">
        <v>59</v>
      </c>
      <c r="O42" t="s">
        <v>60</v>
      </c>
      <c r="P42">
        <v>25</v>
      </c>
      <c r="Q42">
        <v>794</v>
      </c>
      <c r="R42">
        <v>25</v>
      </c>
      <c r="S42">
        <v>66</v>
      </c>
      <c r="T42" t="s">
        <v>62</v>
      </c>
      <c r="U42">
        <v>3.2196046119999999</v>
      </c>
      <c r="V42" t="s">
        <v>45</v>
      </c>
      <c r="W42" t="s">
        <v>46</v>
      </c>
      <c r="X42">
        <v>495</v>
      </c>
    </row>
    <row r="43" spans="1:24" x14ac:dyDescent="0.25">
      <c r="A43" t="s">
        <v>22</v>
      </c>
      <c r="B43" t="s">
        <v>98</v>
      </c>
      <c r="C43">
        <v>27</v>
      </c>
      <c r="D43">
        <v>75</v>
      </c>
      <c r="E43">
        <v>859</v>
      </c>
      <c r="F43">
        <v>2557</v>
      </c>
      <c r="G43" t="s">
        <v>24</v>
      </c>
      <c r="H43">
        <v>92</v>
      </c>
      <c r="I43">
        <v>29</v>
      </c>
      <c r="J43">
        <v>6</v>
      </c>
      <c r="K43">
        <v>8</v>
      </c>
      <c r="L43" t="s">
        <v>25</v>
      </c>
      <c r="M43">
        <v>4</v>
      </c>
      <c r="N43" t="s">
        <v>26</v>
      </c>
      <c r="O43" t="s">
        <v>60</v>
      </c>
      <c r="P43">
        <v>18</v>
      </c>
      <c r="Q43">
        <v>870</v>
      </c>
      <c r="R43">
        <v>23</v>
      </c>
      <c r="S43">
        <v>77</v>
      </c>
      <c r="T43" t="s">
        <v>28</v>
      </c>
      <c r="U43">
        <v>3.6486105929999999</v>
      </c>
      <c r="V43" t="s">
        <v>29</v>
      </c>
      <c r="W43" t="s">
        <v>30</v>
      </c>
      <c r="X43">
        <v>380</v>
      </c>
    </row>
    <row r="44" spans="1:24" x14ac:dyDescent="0.25">
      <c r="A44" t="s">
        <v>31</v>
      </c>
      <c r="B44" t="s">
        <v>99</v>
      </c>
      <c r="C44">
        <v>96</v>
      </c>
      <c r="D44">
        <v>93</v>
      </c>
      <c r="E44">
        <v>910</v>
      </c>
      <c r="F44">
        <v>7089</v>
      </c>
      <c r="G44" t="s">
        <v>53</v>
      </c>
      <c r="H44">
        <v>4</v>
      </c>
      <c r="I44">
        <v>15</v>
      </c>
      <c r="J44">
        <v>51</v>
      </c>
      <c r="K44">
        <v>9</v>
      </c>
      <c r="L44" t="s">
        <v>25</v>
      </c>
      <c r="M44">
        <v>9</v>
      </c>
      <c r="N44" t="s">
        <v>37</v>
      </c>
      <c r="O44" t="s">
        <v>43</v>
      </c>
      <c r="P44">
        <v>10</v>
      </c>
      <c r="Q44">
        <v>964</v>
      </c>
      <c r="R44">
        <v>20</v>
      </c>
      <c r="S44">
        <v>20</v>
      </c>
      <c r="T44" t="s">
        <v>28</v>
      </c>
      <c r="U44">
        <v>0.38057358699999999</v>
      </c>
      <c r="V44" t="s">
        <v>45</v>
      </c>
      <c r="W44" t="s">
        <v>46</v>
      </c>
      <c r="X44">
        <v>582</v>
      </c>
    </row>
    <row r="45" spans="1:24" x14ac:dyDescent="0.25">
      <c r="A45" t="s">
        <v>22</v>
      </c>
      <c r="B45" t="s">
        <v>100</v>
      </c>
      <c r="C45">
        <v>76</v>
      </c>
      <c r="D45">
        <v>28</v>
      </c>
      <c r="E45">
        <v>29</v>
      </c>
      <c r="F45">
        <v>7397</v>
      </c>
      <c r="G45" t="s">
        <v>24</v>
      </c>
      <c r="H45">
        <v>30</v>
      </c>
      <c r="I45">
        <v>16</v>
      </c>
      <c r="J45">
        <v>9</v>
      </c>
      <c r="K45">
        <v>3</v>
      </c>
      <c r="L45" t="s">
        <v>41</v>
      </c>
      <c r="M45">
        <v>7</v>
      </c>
      <c r="N45" t="s">
        <v>59</v>
      </c>
      <c r="O45" t="s">
        <v>27</v>
      </c>
      <c r="P45">
        <v>9</v>
      </c>
      <c r="Q45">
        <v>109</v>
      </c>
      <c r="R45">
        <v>18</v>
      </c>
      <c r="S45">
        <v>23</v>
      </c>
      <c r="T45" t="s">
        <v>44</v>
      </c>
      <c r="U45">
        <v>1.698112541</v>
      </c>
      <c r="V45" t="s">
        <v>45</v>
      </c>
      <c r="W45" t="s">
        <v>30</v>
      </c>
      <c r="X45">
        <v>769</v>
      </c>
    </row>
    <row r="46" spans="1:24" x14ac:dyDescent="0.25">
      <c r="A46" t="s">
        <v>55</v>
      </c>
      <c r="B46" t="s">
        <v>101</v>
      </c>
      <c r="C46">
        <v>79</v>
      </c>
      <c r="D46">
        <v>19</v>
      </c>
      <c r="E46">
        <v>99</v>
      </c>
      <c r="F46">
        <v>8002</v>
      </c>
      <c r="G46" t="s">
        <v>36</v>
      </c>
      <c r="H46">
        <v>97</v>
      </c>
      <c r="I46">
        <v>24</v>
      </c>
      <c r="J46">
        <v>9</v>
      </c>
      <c r="K46">
        <v>6</v>
      </c>
      <c r="L46" t="s">
        <v>41</v>
      </c>
      <c r="M46">
        <v>3</v>
      </c>
      <c r="N46" t="s">
        <v>42</v>
      </c>
      <c r="O46" t="s">
        <v>48</v>
      </c>
      <c r="P46">
        <v>28</v>
      </c>
      <c r="Q46">
        <v>177</v>
      </c>
      <c r="R46">
        <v>28</v>
      </c>
      <c r="S46">
        <v>14</v>
      </c>
      <c r="T46" t="s">
        <v>62</v>
      </c>
      <c r="U46">
        <v>2.8258139849999999</v>
      </c>
      <c r="V46" t="s">
        <v>45</v>
      </c>
      <c r="W46" t="s">
        <v>46</v>
      </c>
      <c r="X46">
        <v>337</v>
      </c>
    </row>
    <row r="47" spans="1:24" x14ac:dyDescent="0.25">
      <c r="A47" t="s">
        <v>22</v>
      </c>
      <c r="B47" t="s">
        <v>49</v>
      </c>
      <c r="C47">
        <v>2</v>
      </c>
      <c r="D47">
        <v>87</v>
      </c>
      <c r="E47">
        <v>147</v>
      </c>
      <c r="F47">
        <v>2828</v>
      </c>
      <c r="G47" t="s">
        <v>24</v>
      </c>
      <c r="H47">
        <v>90</v>
      </c>
      <c r="I47">
        <v>27</v>
      </c>
      <c r="J47">
        <v>66</v>
      </c>
      <c r="K47">
        <v>3</v>
      </c>
      <c r="L47" t="s">
        <v>25</v>
      </c>
      <c r="M47">
        <v>4</v>
      </c>
      <c r="N47" t="s">
        <v>50</v>
      </c>
      <c r="O47" t="s">
        <v>51</v>
      </c>
      <c r="P47">
        <v>10</v>
      </c>
      <c r="Q47">
        <v>104</v>
      </c>
      <c r="R47">
        <v>17</v>
      </c>
      <c r="S47">
        <v>57</v>
      </c>
      <c r="T47" t="s">
        <v>44</v>
      </c>
      <c r="U47">
        <v>2.779193512</v>
      </c>
      <c r="V47" t="s">
        <v>29</v>
      </c>
      <c r="W47" t="s">
        <v>46</v>
      </c>
      <c r="X47">
        <v>235</v>
      </c>
    </row>
    <row r="48" spans="1:24" x14ac:dyDescent="0.25">
      <c r="A48" t="s">
        <v>55</v>
      </c>
      <c r="B48" t="s">
        <v>102</v>
      </c>
      <c r="C48">
        <v>14</v>
      </c>
      <c r="D48">
        <v>91</v>
      </c>
      <c r="E48">
        <v>633</v>
      </c>
      <c r="F48">
        <v>5911</v>
      </c>
      <c r="G48" t="s">
        <v>33</v>
      </c>
      <c r="H48">
        <v>31</v>
      </c>
      <c r="I48">
        <v>23</v>
      </c>
      <c r="J48">
        <v>82</v>
      </c>
      <c r="K48">
        <v>10</v>
      </c>
      <c r="L48" t="s">
        <v>34</v>
      </c>
      <c r="M48">
        <v>6</v>
      </c>
      <c r="N48" t="s">
        <v>59</v>
      </c>
      <c r="O48" t="s">
        <v>48</v>
      </c>
      <c r="P48">
        <v>20</v>
      </c>
      <c r="Q48">
        <v>306</v>
      </c>
      <c r="R48">
        <v>21</v>
      </c>
      <c r="S48">
        <v>45</v>
      </c>
      <c r="T48" t="s">
        <v>44</v>
      </c>
      <c r="U48">
        <v>4.7548008050000004</v>
      </c>
      <c r="V48" t="s">
        <v>45</v>
      </c>
      <c r="W48" t="s">
        <v>30</v>
      </c>
      <c r="X48">
        <v>496</v>
      </c>
    </row>
    <row r="49" spans="1:24" x14ac:dyDescent="0.25">
      <c r="A49" t="s">
        <v>22</v>
      </c>
      <c r="B49" t="s">
        <v>103</v>
      </c>
      <c r="C49">
        <v>27</v>
      </c>
      <c r="D49">
        <v>61</v>
      </c>
      <c r="E49">
        <v>154</v>
      </c>
      <c r="F49">
        <v>9866</v>
      </c>
      <c r="G49" t="s">
        <v>53</v>
      </c>
      <c r="H49">
        <v>100</v>
      </c>
      <c r="I49">
        <v>4</v>
      </c>
      <c r="J49">
        <v>52</v>
      </c>
      <c r="K49">
        <v>1</v>
      </c>
      <c r="L49" t="s">
        <v>34</v>
      </c>
      <c r="M49">
        <v>5</v>
      </c>
      <c r="N49" t="s">
        <v>42</v>
      </c>
      <c r="O49" t="s">
        <v>51</v>
      </c>
      <c r="P49">
        <v>18</v>
      </c>
      <c r="Q49">
        <v>673</v>
      </c>
      <c r="R49">
        <v>28</v>
      </c>
      <c r="S49">
        <v>14</v>
      </c>
      <c r="T49" t="s">
        <v>28</v>
      </c>
      <c r="U49">
        <v>1.772951172</v>
      </c>
      <c r="V49" t="s">
        <v>29</v>
      </c>
      <c r="W49" t="s">
        <v>46</v>
      </c>
      <c r="X49">
        <v>695</v>
      </c>
    </row>
    <row r="50" spans="1:24" x14ac:dyDescent="0.25">
      <c r="A50" t="s">
        <v>31</v>
      </c>
      <c r="B50" t="s">
        <v>104</v>
      </c>
      <c r="C50">
        <v>98</v>
      </c>
      <c r="D50">
        <v>1</v>
      </c>
      <c r="E50">
        <v>820</v>
      </c>
      <c r="F50">
        <v>9436</v>
      </c>
      <c r="G50" t="s">
        <v>53</v>
      </c>
      <c r="H50">
        <v>64</v>
      </c>
      <c r="I50">
        <v>11</v>
      </c>
      <c r="J50">
        <v>11</v>
      </c>
      <c r="K50">
        <v>1</v>
      </c>
      <c r="L50" t="s">
        <v>25</v>
      </c>
      <c r="M50">
        <v>9</v>
      </c>
      <c r="N50" t="s">
        <v>37</v>
      </c>
      <c r="O50" t="s">
        <v>27</v>
      </c>
      <c r="P50">
        <v>10</v>
      </c>
      <c r="Q50">
        <v>727</v>
      </c>
      <c r="R50">
        <v>27</v>
      </c>
      <c r="S50">
        <v>9</v>
      </c>
      <c r="T50" t="s">
        <v>28</v>
      </c>
      <c r="U50">
        <v>2.1224716190000001</v>
      </c>
      <c r="V50" t="s">
        <v>38</v>
      </c>
      <c r="W50" t="s">
        <v>39</v>
      </c>
      <c r="X50">
        <v>603</v>
      </c>
    </row>
    <row r="51" spans="1:24" x14ac:dyDescent="0.25">
      <c r="A51" t="s">
        <v>31</v>
      </c>
      <c r="B51" t="s">
        <v>105</v>
      </c>
      <c r="C51">
        <v>30</v>
      </c>
      <c r="D51">
        <v>93</v>
      </c>
      <c r="E51">
        <v>242</v>
      </c>
      <c r="F51">
        <v>8232</v>
      </c>
      <c r="G51" t="s">
        <v>53</v>
      </c>
      <c r="H51">
        <v>96</v>
      </c>
      <c r="I51">
        <v>25</v>
      </c>
      <c r="J51">
        <v>54</v>
      </c>
      <c r="K51">
        <v>3</v>
      </c>
      <c r="L51" t="s">
        <v>25</v>
      </c>
      <c r="M51">
        <v>1</v>
      </c>
      <c r="N51" t="s">
        <v>37</v>
      </c>
      <c r="O51" t="s">
        <v>48</v>
      </c>
      <c r="P51">
        <v>1</v>
      </c>
      <c r="Q51">
        <v>631</v>
      </c>
      <c r="R51">
        <v>17</v>
      </c>
      <c r="S51">
        <v>83</v>
      </c>
      <c r="T51" t="s">
        <v>28</v>
      </c>
      <c r="U51">
        <v>1.4103475759999999</v>
      </c>
      <c r="V51" t="s">
        <v>38</v>
      </c>
      <c r="W51" t="s">
        <v>30</v>
      </c>
      <c r="X51">
        <v>751</v>
      </c>
    </row>
    <row r="52" spans="1:24" x14ac:dyDescent="0.25">
      <c r="A52" t="s">
        <v>22</v>
      </c>
      <c r="B52" t="s">
        <v>106</v>
      </c>
      <c r="C52">
        <v>31</v>
      </c>
      <c r="D52">
        <v>11</v>
      </c>
      <c r="E52">
        <v>622</v>
      </c>
      <c r="F52">
        <v>6088</v>
      </c>
      <c r="G52" t="s">
        <v>24</v>
      </c>
      <c r="H52">
        <v>33</v>
      </c>
      <c r="I52">
        <v>22</v>
      </c>
      <c r="J52">
        <v>61</v>
      </c>
      <c r="K52">
        <v>3</v>
      </c>
      <c r="L52" t="s">
        <v>25</v>
      </c>
      <c r="M52">
        <v>4</v>
      </c>
      <c r="N52" t="s">
        <v>37</v>
      </c>
      <c r="O52" t="s">
        <v>43</v>
      </c>
      <c r="P52">
        <v>26</v>
      </c>
      <c r="Q52">
        <v>497</v>
      </c>
      <c r="R52">
        <v>29</v>
      </c>
      <c r="S52">
        <v>30</v>
      </c>
      <c r="T52" t="s">
        <v>62</v>
      </c>
      <c r="U52">
        <v>2.478771976</v>
      </c>
      <c r="V52" t="s">
        <v>29</v>
      </c>
      <c r="W52" t="s">
        <v>30</v>
      </c>
      <c r="X52">
        <v>814</v>
      </c>
    </row>
    <row r="53" spans="1:24" x14ac:dyDescent="0.25">
      <c r="A53" t="s">
        <v>22</v>
      </c>
      <c r="B53" t="s">
        <v>107</v>
      </c>
      <c r="C53">
        <v>80</v>
      </c>
      <c r="D53">
        <v>16</v>
      </c>
      <c r="E53">
        <v>701</v>
      </c>
      <c r="F53">
        <v>2926</v>
      </c>
      <c r="G53" t="s">
        <v>53</v>
      </c>
      <c r="H53">
        <v>97</v>
      </c>
      <c r="I53">
        <v>11</v>
      </c>
      <c r="J53">
        <v>11</v>
      </c>
      <c r="K53">
        <v>5</v>
      </c>
      <c r="L53" t="s">
        <v>34</v>
      </c>
      <c r="M53">
        <v>5</v>
      </c>
      <c r="N53" t="s">
        <v>59</v>
      </c>
      <c r="O53" t="s">
        <v>48</v>
      </c>
      <c r="P53">
        <v>27</v>
      </c>
      <c r="Q53">
        <v>918</v>
      </c>
      <c r="R53">
        <v>5</v>
      </c>
      <c r="S53">
        <v>30</v>
      </c>
      <c r="T53" t="s">
        <v>44</v>
      </c>
      <c r="U53">
        <v>4.5489196590000001</v>
      </c>
      <c r="V53" t="s">
        <v>54</v>
      </c>
      <c r="W53" t="s">
        <v>30</v>
      </c>
      <c r="X53">
        <v>323</v>
      </c>
    </row>
    <row r="54" spans="1:24" x14ac:dyDescent="0.25">
      <c r="A54" t="s">
        <v>31</v>
      </c>
      <c r="B54" t="s">
        <v>108</v>
      </c>
      <c r="C54">
        <v>21</v>
      </c>
      <c r="D54">
        <v>90</v>
      </c>
      <c r="E54">
        <v>93</v>
      </c>
      <c r="F54">
        <v>4767</v>
      </c>
      <c r="G54" t="s">
        <v>24</v>
      </c>
      <c r="H54">
        <v>25</v>
      </c>
      <c r="I54">
        <v>23</v>
      </c>
      <c r="J54">
        <v>83</v>
      </c>
      <c r="K54">
        <v>5</v>
      </c>
      <c r="L54" t="s">
        <v>41</v>
      </c>
      <c r="M54">
        <v>2</v>
      </c>
      <c r="N54" t="s">
        <v>37</v>
      </c>
      <c r="O54" t="s">
        <v>27</v>
      </c>
      <c r="P54">
        <v>24</v>
      </c>
      <c r="Q54">
        <v>826</v>
      </c>
      <c r="R54">
        <v>28</v>
      </c>
      <c r="S54">
        <v>13</v>
      </c>
      <c r="T54" t="s">
        <v>62</v>
      </c>
      <c r="U54">
        <v>1.173755495</v>
      </c>
      <c r="V54" t="s">
        <v>38</v>
      </c>
      <c r="W54" t="s">
        <v>30</v>
      </c>
      <c r="X54">
        <v>832</v>
      </c>
    </row>
    <row r="55" spans="1:24" x14ac:dyDescent="0.25">
      <c r="A55" t="s">
        <v>22</v>
      </c>
      <c r="B55" t="s">
        <v>109</v>
      </c>
      <c r="C55">
        <v>49</v>
      </c>
      <c r="D55">
        <v>65</v>
      </c>
      <c r="E55">
        <v>227</v>
      </c>
      <c r="F55">
        <v>1606</v>
      </c>
      <c r="G55" t="s">
        <v>36</v>
      </c>
      <c r="H55">
        <v>5</v>
      </c>
      <c r="I55">
        <v>18</v>
      </c>
      <c r="J55">
        <v>51</v>
      </c>
      <c r="K55">
        <v>1</v>
      </c>
      <c r="L55" t="s">
        <v>25</v>
      </c>
      <c r="M55">
        <v>9</v>
      </c>
      <c r="N55" t="s">
        <v>59</v>
      </c>
      <c r="O55" t="s">
        <v>48</v>
      </c>
      <c r="P55">
        <v>21</v>
      </c>
      <c r="Q55">
        <v>588</v>
      </c>
      <c r="R55">
        <v>25</v>
      </c>
      <c r="S55">
        <v>68</v>
      </c>
      <c r="T55" t="s">
        <v>28</v>
      </c>
      <c r="U55">
        <v>2.5111748299999999</v>
      </c>
      <c r="V55" t="s">
        <v>45</v>
      </c>
      <c r="W55" t="s">
        <v>46</v>
      </c>
      <c r="X55">
        <v>482</v>
      </c>
    </row>
    <row r="56" spans="1:24" x14ac:dyDescent="0.25">
      <c r="A56" t="s">
        <v>31</v>
      </c>
      <c r="B56" t="s">
        <v>110</v>
      </c>
      <c r="C56">
        <v>60</v>
      </c>
      <c r="D56">
        <v>81</v>
      </c>
      <c r="E56">
        <v>896</v>
      </c>
      <c r="F56">
        <v>2021</v>
      </c>
      <c r="G56" t="s">
        <v>24</v>
      </c>
      <c r="H56">
        <v>10</v>
      </c>
      <c r="I56">
        <v>5</v>
      </c>
      <c r="J56">
        <v>44</v>
      </c>
      <c r="K56">
        <v>7</v>
      </c>
      <c r="L56" t="s">
        <v>34</v>
      </c>
      <c r="M56">
        <v>5</v>
      </c>
      <c r="N56" t="s">
        <v>26</v>
      </c>
      <c r="O56" t="s">
        <v>48</v>
      </c>
      <c r="P56">
        <v>18</v>
      </c>
      <c r="Q56">
        <v>396</v>
      </c>
      <c r="R56">
        <v>7</v>
      </c>
      <c r="S56">
        <v>65</v>
      </c>
      <c r="T56" t="s">
        <v>44</v>
      </c>
      <c r="U56">
        <v>1.7303747199999999</v>
      </c>
      <c r="V56" t="s">
        <v>29</v>
      </c>
      <c r="W56" t="s">
        <v>30</v>
      </c>
      <c r="X56">
        <v>110</v>
      </c>
    </row>
    <row r="57" spans="1:24" x14ac:dyDescent="0.25">
      <c r="A57" t="s">
        <v>55</v>
      </c>
      <c r="B57" t="s">
        <v>111</v>
      </c>
      <c r="C57">
        <v>64</v>
      </c>
      <c r="D57">
        <v>30</v>
      </c>
      <c r="E57">
        <v>484</v>
      </c>
      <c r="F57">
        <v>1062</v>
      </c>
      <c r="G57" t="s">
        <v>24</v>
      </c>
      <c r="H57">
        <v>100</v>
      </c>
      <c r="I57">
        <v>16</v>
      </c>
      <c r="J57">
        <v>26</v>
      </c>
      <c r="K57">
        <v>7</v>
      </c>
      <c r="L57" t="s">
        <v>25</v>
      </c>
      <c r="M57">
        <v>7</v>
      </c>
      <c r="N57" t="s">
        <v>37</v>
      </c>
      <c r="O57" t="s">
        <v>43</v>
      </c>
      <c r="P57">
        <v>11</v>
      </c>
      <c r="Q57">
        <v>176</v>
      </c>
      <c r="R57">
        <v>4</v>
      </c>
      <c r="S57">
        <v>2</v>
      </c>
      <c r="T57" t="s">
        <v>44</v>
      </c>
      <c r="U57">
        <v>0.447194015</v>
      </c>
      <c r="V57" t="s">
        <v>38</v>
      </c>
      <c r="W57" t="s">
        <v>46</v>
      </c>
      <c r="X57">
        <v>313</v>
      </c>
    </row>
    <row r="58" spans="1:24" x14ac:dyDescent="0.25">
      <c r="A58" t="s">
        <v>31</v>
      </c>
      <c r="B58" t="s">
        <v>52</v>
      </c>
      <c r="C58">
        <v>4</v>
      </c>
      <c r="D58">
        <v>48</v>
      </c>
      <c r="E58">
        <v>65</v>
      </c>
      <c r="F58">
        <v>7823</v>
      </c>
      <c r="G58" t="s">
        <v>53</v>
      </c>
      <c r="H58">
        <v>11</v>
      </c>
      <c r="I58">
        <v>15</v>
      </c>
      <c r="J58">
        <v>58</v>
      </c>
      <c r="K58">
        <v>8</v>
      </c>
      <c r="L58" t="s">
        <v>41</v>
      </c>
      <c r="M58">
        <v>4</v>
      </c>
      <c r="N58" t="s">
        <v>26</v>
      </c>
      <c r="O58" t="s">
        <v>43</v>
      </c>
      <c r="P58">
        <v>14</v>
      </c>
      <c r="Q58">
        <v>314</v>
      </c>
      <c r="R58">
        <v>24</v>
      </c>
      <c r="S58">
        <v>1</v>
      </c>
      <c r="T58" t="s">
        <v>28</v>
      </c>
      <c r="U58">
        <v>1.0009106189999999</v>
      </c>
      <c r="V58" t="s">
        <v>54</v>
      </c>
      <c r="W58" t="s">
        <v>46</v>
      </c>
      <c r="X58">
        <v>134</v>
      </c>
    </row>
    <row r="59" spans="1:24" x14ac:dyDescent="0.25">
      <c r="A59" t="s">
        <v>31</v>
      </c>
      <c r="B59" t="s">
        <v>112</v>
      </c>
      <c r="C59">
        <v>17</v>
      </c>
      <c r="D59">
        <v>16</v>
      </c>
      <c r="E59">
        <v>380</v>
      </c>
      <c r="F59">
        <v>8864</v>
      </c>
      <c r="G59" t="s">
        <v>33</v>
      </c>
      <c r="H59">
        <v>41</v>
      </c>
      <c r="I59">
        <v>27</v>
      </c>
      <c r="J59">
        <v>72</v>
      </c>
      <c r="K59">
        <v>8</v>
      </c>
      <c r="L59" t="s">
        <v>41</v>
      </c>
      <c r="M59">
        <v>4</v>
      </c>
      <c r="N59" t="s">
        <v>50</v>
      </c>
      <c r="O59" t="s">
        <v>27</v>
      </c>
      <c r="P59">
        <v>29</v>
      </c>
      <c r="Q59">
        <v>929</v>
      </c>
      <c r="R59">
        <v>24</v>
      </c>
      <c r="S59">
        <v>87</v>
      </c>
      <c r="T59" t="s">
        <v>44</v>
      </c>
      <c r="U59">
        <v>2.8530906169999999</v>
      </c>
      <c r="V59" t="s">
        <v>45</v>
      </c>
      <c r="W59" t="s">
        <v>46</v>
      </c>
      <c r="X59">
        <v>430</v>
      </c>
    </row>
    <row r="60" spans="1:24" x14ac:dyDescent="0.25">
      <c r="A60" t="s">
        <v>22</v>
      </c>
      <c r="B60" t="s">
        <v>113</v>
      </c>
      <c r="C60">
        <v>52</v>
      </c>
      <c r="D60">
        <v>23</v>
      </c>
      <c r="E60">
        <v>117</v>
      </c>
      <c r="F60">
        <v>6886</v>
      </c>
      <c r="G60" t="s">
        <v>36</v>
      </c>
      <c r="H60">
        <v>32</v>
      </c>
      <c r="I60">
        <v>23</v>
      </c>
      <c r="J60">
        <v>36</v>
      </c>
      <c r="K60">
        <v>7</v>
      </c>
      <c r="L60" t="s">
        <v>41</v>
      </c>
      <c r="M60">
        <v>9</v>
      </c>
      <c r="N60" t="s">
        <v>50</v>
      </c>
      <c r="O60" t="s">
        <v>43</v>
      </c>
      <c r="P60">
        <v>14</v>
      </c>
      <c r="Q60">
        <v>480</v>
      </c>
      <c r="R60">
        <v>12</v>
      </c>
      <c r="S60">
        <v>79</v>
      </c>
      <c r="T60" t="s">
        <v>44</v>
      </c>
      <c r="U60">
        <v>4.3674705380000001</v>
      </c>
      <c r="V60" t="s">
        <v>38</v>
      </c>
      <c r="W60" t="s">
        <v>46</v>
      </c>
      <c r="X60">
        <v>164</v>
      </c>
    </row>
    <row r="61" spans="1:24" x14ac:dyDescent="0.25">
      <c r="A61" t="s">
        <v>55</v>
      </c>
      <c r="B61" t="s">
        <v>114</v>
      </c>
      <c r="C61">
        <v>73</v>
      </c>
      <c r="D61">
        <v>89</v>
      </c>
      <c r="E61">
        <v>270</v>
      </c>
      <c r="F61">
        <v>3900</v>
      </c>
      <c r="G61" t="s">
        <v>36</v>
      </c>
      <c r="H61">
        <v>86</v>
      </c>
      <c r="I61">
        <v>2</v>
      </c>
      <c r="J61">
        <v>40</v>
      </c>
      <c r="K61">
        <v>7</v>
      </c>
      <c r="L61" t="s">
        <v>41</v>
      </c>
      <c r="M61">
        <v>7</v>
      </c>
      <c r="N61" t="s">
        <v>59</v>
      </c>
      <c r="O61" t="s">
        <v>27</v>
      </c>
      <c r="P61">
        <v>13</v>
      </c>
      <c r="Q61">
        <v>751</v>
      </c>
      <c r="R61">
        <v>14</v>
      </c>
      <c r="S61">
        <v>21</v>
      </c>
      <c r="T61" t="s">
        <v>62</v>
      </c>
      <c r="U61">
        <v>1.8740014039999999</v>
      </c>
      <c r="V61" t="s">
        <v>54</v>
      </c>
      <c r="W61" t="s">
        <v>39</v>
      </c>
      <c r="X61">
        <v>321</v>
      </c>
    </row>
    <row r="62" spans="1:24" x14ac:dyDescent="0.25">
      <c r="A62" t="s">
        <v>31</v>
      </c>
      <c r="B62" t="s">
        <v>115</v>
      </c>
      <c r="C62">
        <v>13</v>
      </c>
      <c r="D62">
        <v>55</v>
      </c>
      <c r="E62">
        <v>246</v>
      </c>
      <c r="F62">
        <v>4257</v>
      </c>
      <c r="G62" t="s">
        <v>24</v>
      </c>
      <c r="H62">
        <v>54</v>
      </c>
      <c r="I62">
        <v>19</v>
      </c>
      <c r="J62">
        <v>10</v>
      </c>
      <c r="K62">
        <v>4</v>
      </c>
      <c r="L62" t="s">
        <v>34</v>
      </c>
      <c r="M62">
        <v>2</v>
      </c>
      <c r="N62" t="s">
        <v>26</v>
      </c>
      <c r="O62" t="s">
        <v>51</v>
      </c>
      <c r="P62">
        <v>18</v>
      </c>
      <c r="Q62">
        <v>736</v>
      </c>
      <c r="R62">
        <v>10</v>
      </c>
      <c r="S62">
        <v>20</v>
      </c>
      <c r="T62" t="s">
        <v>28</v>
      </c>
      <c r="U62">
        <v>3.6328432899999998</v>
      </c>
      <c r="V62" t="s">
        <v>54</v>
      </c>
      <c r="W62" t="s">
        <v>46</v>
      </c>
      <c r="X62">
        <v>687</v>
      </c>
    </row>
    <row r="63" spans="1:24" x14ac:dyDescent="0.25">
      <c r="A63" t="s">
        <v>31</v>
      </c>
      <c r="B63" t="s">
        <v>116</v>
      </c>
      <c r="C63">
        <v>90</v>
      </c>
      <c r="D63">
        <v>11</v>
      </c>
      <c r="E63">
        <v>134</v>
      </c>
      <c r="F63">
        <v>8459</v>
      </c>
      <c r="G63" t="s">
        <v>33</v>
      </c>
      <c r="H63">
        <v>73</v>
      </c>
      <c r="I63">
        <v>27</v>
      </c>
      <c r="J63">
        <v>75</v>
      </c>
      <c r="K63">
        <v>6</v>
      </c>
      <c r="L63" t="s">
        <v>41</v>
      </c>
      <c r="M63">
        <v>5</v>
      </c>
      <c r="N63" t="s">
        <v>37</v>
      </c>
      <c r="O63" t="s">
        <v>48</v>
      </c>
      <c r="P63">
        <v>17</v>
      </c>
      <c r="Q63">
        <v>328</v>
      </c>
      <c r="R63">
        <v>6</v>
      </c>
      <c r="S63">
        <v>9</v>
      </c>
      <c r="T63" t="s">
        <v>44</v>
      </c>
      <c r="U63">
        <v>0.15948631499999999</v>
      </c>
      <c r="V63" t="s">
        <v>38</v>
      </c>
      <c r="W63" t="s">
        <v>39</v>
      </c>
      <c r="X63">
        <v>771</v>
      </c>
    </row>
    <row r="64" spans="1:24" x14ac:dyDescent="0.25">
      <c r="A64" t="s">
        <v>31</v>
      </c>
      <c r="B64" t="s">
        <v>117</v>
      </c>
      <c r="C64">
        <v>34</v>
      </c>
      <c r="D64">
        <v>72</v>
      </c>
      <c r="E64">
        <v>457</v>
      </c>
      <c r="F64">
        <v>8355</v>
      </c>
      <c r="G64" t="s">
        <v>53</v>
      </c>
      <c r="H64">
        <v>57</v>
      </c>
      <c r="I64">
        <v>24</v>
      </c>
      <c r="J64">
        <v>54</v>
      </c>
      <c r="K64">
        <v>8</v>
      </c>
      <c r="L64" t="s">
        <v>41</v>
      </c>
      <c r="M64">
        <v>7</v>
      </c>
      <c r="N64" t="s">
        <v>42</v>
      </c>
      <c r="O64" t="s">
        <v>43</v>
      </c>
      <c r="P64">
        <v>16</v>
      </c>
      <c r="Q64">
        <v>358</v>
      </c>
      <c r="R64">
        <v>21</v>
      </c>
      <c r="S64">
        <v>2</v>
      </c>
      <c r="T64" t="s">
        <v>44</v>
      </c>
      <c r="U64">
        <v>4.9110959550000004</v>
      </c>
      <c r="V64" t="s">
        <v>45</v>
      </c>
      <c r="W64" t="s">
        <v>39</v>
      </c>
      <c r="X64">
        <v>556</v>
      </c>
    </row>
    <row r="65" spans="1:24" x14ac:dyDescent="0.25">
      <c r="A65" t="s">
        <v>31</v>
      </c>
      <c r="B65" t="s">
        <v>118</v>
      </c>
      <c r="C65">
        <v>26</v>
      </c>
      <c r="D65">
        <v>52</v>
      </c>
      <c r="E65">
        <v>704</v>
      </c>
      <c r="F65">
        <v>8368</v>
      </c>
      <c r="G65" t="s">
        <v>33</v>
      </c>
      <c r="H65">
        <v>13</v>
      </c>
      <c r="I65">
        <v>17</v>
      </c>
      <c r="J65">
        <v>19</v>
      </c>
      <c r="K65">
        <v>8</v>
      </c>
      <c r="L65" t="s">
        <v>34</v>
      </c>
      <c r="M65">
        <v>2</v>
      </c>
      <c r="N65" t="s">
        <v>42</v>
      </c>
      <c r="O65" t="s">
        <v>43</v>
      </c>
      <c r="P65">
        <v>24</v>
      </c>
      <c r="Q65">
        <v>867</v>
      </c>
      <c r="R65">
        <v>28</v>
      </c>
      <c r="S65">
        <v>42</v>
      </c>
      <c r="T65" t="s">
        <v>44</v>
      </c>
      <c r="U65">
        <v>3.4480632880000002</v>
      </c>
      <c r="V65" t="s">
        <v>29</v>
      </c>
      <c r="W65" t="s">
        <v>46</v>
      </c>
      <c r="X65">
        <v>394</v>
      </c>
    </row>
    <row r="66" spans="1:24" x14ac:dyDescent="0.25">
      <c r="A66" t="s">
        <v>31</v>
      </c>
      <c r="B66" t="s">
        <v>119</v>
      </c>
      <c r="C66">
        <v>88</v>
      </c>
      <c r="D66">
        <v>16</v>
      </c>
      <c r="E66">
        <v>513</v>
      </c>
      <c r="F66">
        <v>9474</v>
      </c>
      <c r="G66" t="s">
        <v>36</v>
      </c>
      <c r="H66">
        <v>12</v>
      </c>
      <c r="I66">
        <v>9</v>
      </c>
      <c r="J66">
        <v>71</v>
      </c>
      <c r="K66">
        <v>9</v>
      </c>
      <c r="L66" t="s">
        <v>41</v>
      </c>
      <c r="M66">
        <v>9</v>
      </c>
      <c r="N66" t="s">
        <v>37</v>
      </c>
      <c r="O66" t="s">
        <v>27</v>
      </c>
      <c r="P66">
        <v>10</v>
      </c>
      <c r="Q66">
        <v>198</v>
      </c>
      <c r="R66">
        <v>11</v>
      </c>
      <c r="S66">
        <v>7</v>
      </c>
      <c r="T66" t="s">
        <v>62</v>
      </c>
      <c r="U66">
        <v>0.13195544400000001</v>
      </c>
      <c r="V66" t="s">
        <v>54</v>
      </c>
      <c r="W66" t="s">
        <v>39</v>
      </c>
      <c r="X66">
        <v>169</v>
      </c>
    </row>
    <row r="67" spans="1:24" x14ac:dyDescent="0.25">
      <c r="A67" t="s">
        <v>22</v>
      </c>
      <c r="B67" t="s">
        <v>120</v>
      </c>
      <c r="C67">
        <v>38</v>
      </c>
      <c r="D67">
        <v>29</v>
      </c>
      <c r="E67">
        <v>163</v>
      </c>
      <c r="F67">
        <v>3550</v>
      </c>
      <c r="G67" t="s">
        <v>24</v>
      </c>
      <c r="H67">
        <v>0</v>
      </c>
      <c r="I67">
        <v>8</v>
      </c>
      <c r="J67">
        <v>58</v>
      </c>
      <c r="K67">
        <v>8</v>
      </c>
      <c r="L67" t="s">
        <v>25</v>
      </c>
      <c r="M67">
        <v>1</v>
      </c>
      <c r="N67" t="s">
        <v>59</v>
      </c>
      <c r="O67" t="s">
        <v>51</v>
      </c>
      <c r="P67">
        <v>2</v>
      </c>
      <c r="Q67">
        <v>375</v>
      </c>
      <c r="R67">
        <v>18</v>
      </c>
      <c r="S67">
        <v>97</v>
      </c>
      <c r="T67" t="s">
        <v>44</v>
      </c>
      <c r="U67">
        <v>1.9834678720000001</v>
      </c>
      <c r="V67" t="s">
        <v>45</v>
      </c>
      <c r="W67" t="s">
        <v>46</v>
      </c>
      <c r="X67">
        <v>300</v>
      </c>
    </row>
    <row r="68" spans="1:24" x14ac:dyDescent="0.25">
      <c r="A68" t="s">
        <v>31</v>
      </c>
      <c r="B68" t="s">
        <v>121</v>
      </c>
      <c r="C68">
        <v>55</v>
      </c>
      <c r="D68">
        <v>62</v>
      </c>
      <c r="E68">
        <v>511</v>
      </c>
      <c r="F68">
        <v>1752</v>
      </c>
      <c r="G68" t="s">
        <v>24</v>
      </c>
      <c r="H68">
        <v>95</v>
      </c>
      <c r="I68">
        <v>1</v>
      </c>
      <c r="J68">
        <v>27</v>
      </c>
      <c r="K68">
        <v>3</v>
      </c>
      <c r="L68" t="s">
        <v>25</v>
      </c>
      <c r="M68">
        <v>10</v>
      </c>
      <c r="N68" t="s">
        <v>50</v>
      </c>
      <c r="O68" t="s">
        <v>43</v>
      </c>
      <c r="P68">
        <v>9</v>
      </c>
      <c r="Q68">
        <v>862</v>
      </c>
      <c r="R68">
        <v>7</v>
      </c>
      <c r="S68">
        <v>78</v>
      </c>
      <c r="T68" t="s">
        <v>28</v>
      </c>
      <c r="U68">
        <v>1.3623879889999999</v>
      </c>
      <c r="V68" t="s">
        <v>38</v>
      </c>
      <c r="W68" t="s">
        <v>46</v>
      </c>
      <c r="X68">
        <v>208</v>
      </c>
    </row>
    <row r="69" spans="1:24" x14ac:dyDescent="0.25">
      <c r="A69" t="s">
        <v>55</v>
      </c>
      <c r="B69" t="s">
        <v>56</v>
      </c>
      <c r="C69">
        <v>43</v>
      </c>
      <c r="D69">
        <v>59</v>
      </c>
      <c r="E69">
        <v>426</v>
      </c>
      <c r="F69">
        <v>8496</v>
      </c>
      <c r="G69" t="s">
        <v>33</v>
      </c>
      <c r="H69">
        <v>93</v>
      </c>
      <c r="I69">
        <v>17</v>
      </c>
      <c r="J69">
        <v>11</v>
      </c>
      <c r="K69">
        <v>1</v>
      </c>
      <c r="L69" t="s">
        <v>25</v>
      </c>
      <c r="M69">
        <v>2</v>
      </c>
      <c r="N69" t="s">
        <v>50</v>
      </c>
      <c r="O69" t="s">
        <v>51</v>
      </c>
      <c r="P69">
        <v>22</v>
      </c>
      <c r="Q69">
        <v>564</v>
      </c>
      <c r="R69">
        <v>1</v>
      </c>
      <c r="S69">
        <v>99</v>
      </c>
      <c r="T69" t="s">
        <v>44</v>
      </c>
      <c r="U69">
        <v>0.39817718699999999</v>
      </c>
      <c r="V69" t="s">
        <v>29</v>
      </c>
      <c r="W69" t="s">
        <v>39</v>
      </c>
      <c r="X69">
        <v>802</v>
      </c>
    </row>
    <row r="70" spans="1:24" x14ac:dyDescent="0.25">
      <c r="A70" t="s">
        <v>22</v>
      </c>
      <c r="B70" t="s">
        <v>122</v>
      </c>
      <c r="C70">
        <v>48</v>
      </c>
      <c r="D70">
        <v>90</v>
      </c>
      <c r="E70">
        <v>32</v>
      </c>
      <c r="F70">
        <v>7015</v>
      </c>
      <c r="G70" t="s">
        <v>33</v>
      </c>
      <c r="H70">
        <v>10</v>
      </c>
      <c r="I70">
        <v>12</v>
      </c>
      <c r="J70">
        <v>22</v>
      </c>
      <c r="K70">
        <v>4</v>
      </c>
      <c r="L70" t="s">
        <v>25</v>
      </c>
      <c r="M70">
        <v>6</v>
      </c>
      <c r="N70" t="s">
        <v>37</v>
      </c>
      <c r="O70" t="s">
        <v>51</v>
      </c>
      <c r="P70">
        <v>22</v>
      </c>
      <c r="Q70">
        <v>775</v>
      </c>
      <c r="R70">
        <v>16</v>
      </c>
      <c r="S70">
        <v>11</v>
      </c>
      <c r="T70" t="s">
        <v>62</v>
      </c>
      <c r="U70">
        <v>1.8305755990000001</v>
      </c>
      <c r="V70" t="s">
        <v>29</v>
      </c>
      <c r="W70" t="s">
        <v>39</v>
      </c>
      <c r="X70">
        <v>183</v>
      </c>
    </row>
    <row r="71" spans="1:24" x14ac:dyDescent="0.25">
      <c r="A71" t="s">
        <v>55</v>
      </c>
      <c r="B71" t="s">
        <v>123</v>
      </c>
      <c r="C71">
        <v>6</v>
      </c>
      <c r="D71">
        <v>14</v>
      </c>
      <c r="E71">
        <v>637</v>
      </c>
      <c r="F71">
        <v>8180</v>
      </c>
      <c r="G71" t="s">
        <v>33</v>
      </c>
      <c r="H71">
        <v>76</v>
      </c>
      <c r="I71">
        <v>2</v>
      </c>
      <c r="J71">
        <v>26</v>
      </c>
      <c r="K71">
        <v>6</v>
      </c>
      <c r="L71" t="s">
        <v>34</v>
      </c>
      <c r="M71">
        <v>9</v>
      </c>
      <c r="N71" t="s">
        <v>59</v>
      </c>
      <c r="O71" t="s">
        <v>51</v>
      </c>
      <c r="P71">
        <v>2</v>
      </c>
      <c r="Q71">
        <v>258</v>
      </c>
      <c r="R71">
        <v>10</v>
      </c>
      <c r="S71">
        <v>31</v>
      </c>
      <c r="T71" t="s">
        <v>28</v>
      </c>
      <c r="U71">
        <v>2.078750608</v>
      </c>
      <c r="V71" t="s">
        <v>29</v>
      </c>
      <c r="W71" t="s">
        <v>46</v>
      </c>
      <c r="X71">
        <v>405</v>
      </c>
    </row>
    <row r="72" spans="1:24" x14ac:dyDescent="0.25">
      <c r="A72" t="s">
        <v>55</v>
      </c>
      <c r="B72" t="s">
        <v>124</v>
      </c>
      <c r="C72">
        <v>90</v>
      </c>
      <c r="D72">
        <v>88</v>
      </c>
      <c r="E72">
        <v>478</v>
      </c>
      <c r="F72">
        <v>2633</v>
      </c>
      <c r="G72" t="s">
        <v>24</v>
      </c>
      <c r="H72">
        <v>57</v>
      </c>
      <c r="I72">
        <v>29</v>
      </c>
      <c r="J72">
        <v>77</v>
      </c>
      <c r="K72">
        <v>9</v>
      </c>
      <c r="L72" t="s">
        <v>34</v>
      </c>
      <c r="M72">
        <v>7</v>
      </c>
      <c r="N72" t="s">
        <v>37</v>
      </c>
      <c r="O72" t="s">
        <v>51</v>
      </c>
      <c r="P72">
        <v>21</v>
      </c>
      <c r="Q72">
        <v>152</v>
      </c>
      <c r="R72">
        <v>11</v>
      </c>
      <c r="S72">
        <v>56</v>
      </c>
      <c r="T72" t="s">
        <v>28</v>
      </c>
      <c r="U72">
        <v>3.2133296069999999</v>
      </c>
      <c r="V72" t="s">
        <v>45</v>
      </c>
      <c r="W72" t="s">
        <v>30</v>
      </c>
      <c r="X72">
        <v>678</v>
      </c>
    </row>
    <row r="73" spans="1:24" x14ac:dyDescent="0.25">
      <c r="A73" t="s">
        <v>55</v>
      </c>
      <c r="B73" t="s">
        <v>125</v>
      </c>
      <c r="C73">
        <v>84</v>
      </c>
      <c r="D73">
        <v>41</v>
      </c>
      <c r="E73">
        <v>375</v>
      </c>
      <c r="F73">
        <v>7911</v>
      </c>
      <c r="G73" t="s">
        <v>53</v>
      </c>
      <c r="H73">
        <v>17</v>
      </c>
      <c r="I73">
        <v>25</v>
      </c>
      <c r="J73">
        <v>66</v>
      </c>
      <c r="K73">
        <v>5</v>
      </c>
      <c r="L73" t="s">
        <v>25</v>
      </c>
      <c r="M73">
        <v>2</v>
      </c>
      <c r="N73" t="s">
        <v>50</v>
      </c>
      <c r="O73" t="s">
        <v>60</v>
      </c>
      <c r="P73">
        <v>13</v>
      </c>
      <c r="Q73">
        <v>444</v>
      </c>
      <c r="R73">
        <v>4</v>
      </c>
      <c r="S73">
        <v>47</v>
      </c>
      <c r="T73" t="s">
        <v>44</v>
      </c>
      <c r="U73">
        <v>4.6205460650000001</v>
      </c>
      <c r="V73" t="s">
        <v>29</v>
      </c>
      <c r="W73" t="s">
        <v>46</v>
      </c>
      <c r="X73">
        <v>866</v>
      </c>
    </row>
    <row r="74" spans="1:24" x14ac:dyDescent="0.25">
      <c r="A74" t="s">
        <v>22</v>
      </c>
      <c r="B74" t="s">
        <v>126</v>
      </c>
      <c r="C74">
        <v>3</v>
      </c>
      <c r="D74">
        <v>64</v>
      </c>
      <c r="E74">
        <v>904</v>
      </c>
      <c r="F74">
        <v>5710</v>
      </c>
      <c r="G74" t="s">
        <v>33</v>
      </c>
      <c r="H74">
        <v>41</v>
      </c>
      <c r="I74">
        <v>6</v>
      </c>
      <c r="J74">
        <v>1</v>
      </c>
      <c r="K74">
        <v>5</v>
      </c>
      <c r="L74" t="s">
        <v>34</v>
      </c>
      <c r="M74">
        <v>5</v>
      </c>
      <c r="N74" t="s">
        <v>50</v>
      </c>
      <c r="O74" t="s">
        <v>48</v>
      </c>
      <c r="P74">
        <v>1</v>
      </c>
      <c r="Q74">
        <v>919</v>
      </c>
      <c r="R74">
        <v>9</v>
      </c>
      <c r="S74">
        <v>81</v>
      </c>
      <c r="T74" t="s">
        <v>44</v>
      </c>
      <c r="U74">
        <v>0.39661272400000003</v>
      </c>
      <c r="V74" t="s">
        <v>45</v>
      </c>
      <c r="W74" t="s">
        <v>46</v>
      </c>
      <c r="X74">
        <v>342</v>
      </c>
    </row>
    <row r="75" spans="1:24" x14ac:dyDescent="0.25">
      <c r="A75" t="s">
        <v>31</v>
      </c>
      <c r="B75" t="s">
        <v>127</v>
      </c>
      <c r="C75">
        <v>93</v>
      </c>
      <c r="D75">
        <v>29</v>
      </c>
      <c r="E75">
        <v>106</v>
      </c>
      <c r="F75">
        <v>1889</v>
      </c>
      <c r="G75" t="s">
        <v>24</v>
      </c>
      <c r="H75">
        <v>16</v>
      </c>
      <c r="I75">
        <v>20</v>
      </c>
      <c r="J75">
        <v>56</v>
      </c>
      <c r="K75">
        <v>10</v>
      </c>
      <c r="L75" t="s">
        <v>41</v>
      </c>
      <c r="M75">
        <v>2</v>
      </c>
      <c r="N75" t="s">
        <v>37</v>
      </c>
      <c r="O75" t="s">
        <v>60</v>
      </c>
      <c r="P75">
        <v>25</v>
      </c>
      <c r="Q75">
        <v>759</v>
      </c>
      <c r="R75">
        <v>11</v>
      </c>
      <c r="S75">
        <v>48</v>
      </c>
      <c r="T75" t="s">
        <v>62</v>
      </c>
      <c r="U75">
        <v>2.0300690889999999</v>
      </c>
      <c r="V75" t="s">
        <v>38</v>
      </c>
      <c r="W75" t="s">
        <v>39</v>
      </c>
      <c r="X75">
        <v>873</v>
      </c>
    </row>
    <row r="76" spans="1:24" x14ac:dyDescent="0.25">
      <c r="A76" t="s">
        <v>22</v>
      </c>
      <c r="B76" t="s">
        <v>128</v>
      </c>
      <c r="C76">
        <v>69</v>
      </c>
      <c r="D76">
        <v>23</v>
      </c>
      <c r="E76">
        <v>241</v>
      </c>
      <c r="F76">
        <v>5328</v>
      </c>
      <c r="G76" t="s">
        <v>53</v>
      </c>
      <c r="H76">
        <v>38</v>
      </c>
      <c r="I76">
        <v>1</v>
      </c>
      <c r="J76">
        <v>22</v>
      </c>
      <c r="K76">
        <v>10</v>
      </c>
      <c r="L76" t="s">
        <v>34</v>
      </c>
      <c r="M76">
        <v>7</v>
      </c>
      <c r="N76" t="s">
        <v>59</v>
      </c>
      <c r="O76" t="s">
        <v>51</v>
      </c>
      <c r="P76">
        <v>25</v>
      </c>
      <c r="Q76">
        <v>985</v>
      </c>
      <c r="R76">
        <v>24</v>
      </c>
      <c r="S76">
        <v>64</v>
      </c>
      <c r="T76" t="s">
        <v>28</v>
      </c>
      <c r="U76">
        <v>2.1800374520000001</v>
      </c>
      <c r="V76" t="s">
        <v>45</v>
      </c>
      <c r="W76" t="s">
        <v>46</v>
      </c>
      <c r="X76">
        <v>997</v>
      </c>
    </row>
    <row r="77" spans="1:24" x14ac:dyDescent="0.25">
      <c r="A77" t="s">
        <v>22</v>
      </c>
      <c r="B77" t="s">
        <v>129</v>
      </c>
      <c r="C77">
        <v>57</v>
      </c>
      <c r="D77">
        <v>14</v>
      </c>
      <c r="E77">
        <v>359</v>
      </c>
      <c r="F77">
        <v>2484</v>
      </c>
      <c r="G77" t="s">
        <v>36</v>
      </c>
      <c r="H77">
        <v>96</v>
      </c>
      <c r="I77">
        <v>28</v>
      </c>
      <c r="J77">
        <v>57</v>
      </c>
      <c r="K77">
        <v>4</v>
      </c>
      <c r="L77" t="s">
        <v>25</v>
      </c>
      <c r="M77">
        <v>7</v>
      </c>
      <c r="N77" t="s">
        <v>37</v>
      </c>
      <c r="O77" t="s">
        <v>43</v>
      </c>
      <c r="P77">
        <v>26</v>
      </c>
      <c r="Q77">
        <v>334</v>
      </c>
      <c r="R77">
        <v>5</v>
      </c>
      <c r="S77">
        <v>43</v>
      </c>
      <c r="T77" t="s">
        <v>62</v>
      </c>
      <c r="U77">
        <v>3.0551418180000001</v>
      </c>
      <c r="V77" t="s">
        <v>29</v>
      </c>
      <c r="W77" t="s">
        <v>30</v>
      </c>
      <c r="X77">
        <v>853</v>
      </c>
    </row>
    <row r="78" spans="1:24" x14ac:dyDescent="0.25">
      <c r="A78" t="s">
        <v>22</v>
      </c>
      <c r="B78" t="s">
        <v>130</v>
      </c>
      <c r="C78">
        <v>6</v>
      </c>
      <c r="D78">
        <v>50</v>
      </c>
      <c r="E78">
        <v>946</v>
      </c>
      <c r="F78">
        <v>1292</v>
      </c>
      <c r="G78" t="s">
        <v>36</v>
      </c>
      <c r="H78">
        <v>5</v>
      </c>
      <c r="I78">
        <v>4</v>
      </c>
      <c r="J78">
        <v>51</v>
      </c>
      <c r="K78">
        <v>5</v>
      </c>
      <c r="L78" t="s">
        <v>25</v>
      </c>
      <c r="M78">
        <v>8</v>
      </c>
      <c r="N78" t="s">
        <v>42</v>
      </c>
      <c r="O78" t="s">
        <v>27</v>
      </c>
      <c r="P78">
        <v>25</v>
      </c>
      <c r="Q78">
        <v>858</v>
      </c>
      <c r="R78">
        <v>21</v>
      </c>
      <c r="S78">
        <v>71</v>
      </c>
      <c r="T78" t="s">
        <v>28</v>
      </c>
      <c r="U78">
        <v>4.0968813319999997</v>
      </c>
      <c r="V78" t="s">
        <v>54</v>
      </c>
      <c r="W78" t="s">
        <v>39</v>
      </c>
      <c r="X78">
        <v>324</v>
      </c>
    </row>
    <row r="79" spans="1:24" x14ac:dyDescent="0.25">
      <c r="A79" t="s">
        <v>22</v>
      </c>
      <c r="B79" t="s">
        <v>131</v>
      </c>
      <c r="C79">
        <v>57</v>
      </c>
      <c r="D79">
        <v>56</v>
      </c>
      <c r="E79">
        <v>198</v>
      </c>
      <c r="F79">
        <v>7889</v>
      </c>
      <c r="G79" t="s">
        <v>24</v>
      </c>
      <c r="H79">
        <v>31</v>
      </c>
      <c r="I79">
        <v>25</v>
      </c>
      <c r="J79">
        <v>20</v>
      </c>
      <c r="K79">
        <v>1</v>
      </c>
      <c r="L79" t="s">
        <v>25</v>
      </c>
      <c r="M79">
        <v>6</v>
      </c>
      <c r="N79" t="s">
        <v>26</v>
      </c>
      <c r="O79" t="s">
        <v>51</v>
      </c>
      <c r="P79">
        <v>5</v>
      </c>
      <c r="Q79">
        <v>228</v>
      </c>
      <c r="R79">
        <v>12</v>
      </c>
      <c r="S79">
        <v>58</v>
      </c>
      <c r="T79" t="s">
        <v>28</v>
      </c>
      <c r="U79">
        <v>0.16587162699999999</v>
      </c>
      <c r="V79" t="s">
        <v>38</v>
      </c>
      <c r="W79" t="s">
        <v>39</v>
      </c>
      <c r="X79">
        <v>352</v>
      </c>
    </row>
    <row r="80" spans="1:24" x14ac:dyDescent="0.25">
      <c r="A80" t="s">
        <v>55</v>
      </c>
      <c r="B80" t="s">
        <v>57</v>
      </c>
      <c r="C80">
        <v>69</v>
      </c>
      <c r="D80">
        <v>78</v>
      </c>
      <c r="E80">
        <v>150</v>
      </c>
      <c r="F80">
        <v>7517</v>
      </c>
      <c r="G80" t="s">
        <v>33</v>
      </c>
      <c r="H80">
        <v>5</v>
      </c>
      <c r="I80">
        <v>10</v>
      </c>
      <c r="J80">
        <v>15</v>
      </c>
      <c r="K80">
        <v>7</v>
      </c>
      <c r="L80" t="s">
        <v>41</v>
      </c>
      <c r="M80">
        <v>3</v>
      </c>
      <c r="N80" t="s">
        <v>50</v>
      </c>
      <c r="O80" t="s">
        <v>27</v>
      </c>
      <c r="P80">
        <v>13</v>
      </c>
      <c r="Q80">
        <v>769</v>
      </c>
      <c r="R80">
        <v>8</v>
      </c>
      <c r="S80">
        <v>11</v>
      </c>
      <c r="T80" t="s">
        <v>28</v>
      </c>
      <c r="U80">
        <v>2.7098626910000001</v>
      </c>
      <c r="V80" t="s">
        <v>54</v>
      </c>
      <c r="W80" t="s">
        <v>30</v>
      </c>
      <c r="X80">
        <v>506</v>
      </c>
    </row>
    <row r="81" spans="1:24" x14ac:dyDescent="0.25">
      <c r="A81" t="s">
        <v>31</v>
      </c>
      <c r="B81" t="s">
        <v>132</v>
      </c>
      <c r="C81">
        <v>91</v>
      </c>
      <c r="D81">
        <v>75</v>
      </c>
      <c r="E81">
        <v>872</v>
      </c>
      <c r="F81">
        <v>8652</v>
      </c>
      <c r="G81" t="s">
        <v>36</v>
      </c>
      <c r="H81">
        <v>39</v>
      </c>
      <c r="I81">
        <v>14</v>
      </c>
      <c r="J81">
        <v>41</v>
      </c>
      <c r="K81">
        <v>2</v>
      </c>
      <c r="L81" t="s">
        <v>41</v>
      </c>
      <c r="M81">
        <v>3</v>
      </c>
      <c r="N81" t="s">
        <v>26</v>
      </c>
      <c r="O81" t="s">
        <v>60</v>
      </c>
      <c r="P81">
        <v>8</v>
      </c>
      <c r="Q81">
        <v>202</v>
      </c>
      <c r="R81">
        <v>5</v>
      </c>
      <c r="S81">
        <v>77</v>
      </c>
      <c r="T81" t="s">
        <v>44</v>
      </c>
      <c r="U81">
        <v>2.849662199</v>
      </c>
      <c r="V81" t="s">
        <v>54</v>
      </c>
      <c r="W81" t="s">
        <v>30</v>
      </c>
      <c r="X81">
        <v>788</v>
      </c>
    </row>
    <row r="82" spans="1:24" x14ac:dyDescent="0.25">
      <c r="A82" t="s">
        <v>22</v>
      </c>
      <c r="B82" t="s">
        <v>133</v>
      </c>
      <c r="C82">
        <v>73</v>
      </c>
      <c r="D82">
        <v>9</v>
      </c>
      <c r="E82">
        <v>774</v>
      </c>
      <c r="F82">
        <v>4384</v>
      </c>
      <c r="G82" t="s">
        <v>36</v>
      </c>
      <c r="H82">
        <v>48</v>
      </c>
      <c r="I82">
        <v>6</v>
      </c>
      <c r="J82">
        <v>8</v>
      </c>
      <c r="K82">
        <v>5</v>
      </c>
      <c r="L82" t="s">
        <v>25</v>
      </c>
      <c r="M82">
        <v>4</v>
      </c>
      <c r="N82" t="s">
        <v>26</v>
      </c>
      <c r="O82" t="s">
        <v>48</v>
      </c>
      <c r="P82">
        <v>28</v>
      </c>
      <c r="Q82">
        <v>698</v>
      </c>
      <c r="R82">
        <v>1</v>
      </c>
      <c r="S82">
        <v>20</v>
      </c>
      <c r="T82" t="s">
        <v>28</v>
      </c>
      <c r="U82">
        <v>2.5475471220000001</v>
      </c>
      <c r="V82" t="s">
        <v>45</v>
      </c>
      <c r="W82" t="s">
        <v>30</v>
      </c>
      <c r="X82">
        <v>277</v>
      </c>
    </row>
    <row r="83" spans="1:24" x14ac:dyDescent="0.25">
      <c r="A83" t="s">
        <v>31</v>
      </c>
      <c r="B83" t="s">
        <v>134</v>
      </c>
      <c r="C83">
        <v>17</v>
      </c>
      <c r="D83">
        <v>13</v>
      </c>
      <c r="E83">
        <v>336</v>
      </c>
      <c r="F83">
        <v>2943</v>
      </c>
      <c r="G83" t="s">
        <v>36</v>
      </c>
      <c r="H83">
        <v>42</v>
      </c>
      <c r="I83">
        <v>19</v>
      </c>
      <c r="J83">
        <v>72</v>
      </c>
      <c r="K83">
        <v>1</v>
      </c>
      <c r="L83" t="s">
        <v>34</v>
      </c>
      <c r="M83">
        <v>5</v>
      </c>
      <c r="N83" t="s">
        <v>59</v>
      </c>
      <c r="O83" t="s">
        <v>27</v>
      </c>
      <c r="P83">
        <v>6</v>
      </c>
      <c r="Q83">
        <v>955</v>
      </c>
      <c r="R83">
        <v>26</v>
      </c>
      <c r="S83">
        <v>4</v>
      </c>
      <c r="T83" t="s">
        <v>28</v>
      </c>
      <c r="U83">
        <v>4.1378770490000001</v>
      </c>
      <c r="V83" t="s">
        <v>29</v>
      </c>
      <c r="W83" t="s">
        <v>39</v>
      </c>
      <c r="X83">
        <v>590</v>
      </c>
    </row>
    <row r="84" spans="1:24" x14ac:dyDescent="0.25">
      <c r="A84" t="s">
        <v>22</v>
      </c>
      <c r="B84" t="s">
        <v>135</v>
      </c>
      <c r="C84">
        <v>69</v>
      </c>
      <c r="D84">
        <v>82</v>
      </c>
      <c r="E84">
        <v>663</v>
      </c>
      <c r="F84">
        <v>2412</v>
      </c>
      <c r="G84" t="s">
        <v>36</v>
      </c>
      <c r="H84">
        <v>65</v>
      </c>
      <c r="I84">
        <v>24</v>
      </c>
      <c r="J84">
        <v>7</v>
      </c>
      <c r="K84">
        <v>8</v>
      </c>
      <c r="L84" t="s">
        <v>25</v>
      </c>
      <c r="M84">
        <v>5</v>
      </c>
      <c r="N84" t="s">
        <v>37</v>
      </c>
      <c r="O84" t="s">
        <v>51</v>
      </c>
      <c r="P84">
        <v>20</v>
      </c>
      <c r="Q84">
        <v>443</v>
      </c>
      <c r="R84">
        <v>5</v>
      </c>
      <c r="S84">
        <v>98</v>
      </c>
      <c r="T84" t="s">
        <v>44</v>
      </c>
      <c r="U84">
        <v>0.77300613399999996</v>
      </c>
      <c r="V84" t="s">
        <v>29</v>
      </c>
      <c r="W84" t="s">
        <v>46</v>
      </c>
      <c r="X84">
        <v>683</v>
      </c>
    </row>
    <row r="85" spans="1:24" x14ac:dyDescent="0.25">
      <c r="A85" t="s">
        <v>22</v>
      </c>
      <c r="B85" t="s">
        <v>136</v>
      </c>
      <c r="C85">
        <v>89</v>
      </c>
      <c r="D85">
        <v>99</v>
      </c>
      <c r="E85">
        <v>618</v>
      </c>
      <c r="F85">
        <v>2048</v>
      </c>
      <c r="G85" t="s">
        <v>36</v>
      </c>
      <c r="H85">
        <v>73</v>
      </c>
      <c r="I85">
        <v>26</v>
      </c>
      <c r="J85">
        <v>80</v>
      </c>
      <c r="K85">
        <v>10</v>
      </c>
      <c r="L85" t="s">
        <v>34</v>
      </c>
      <c r="M85">
        <v>8</v>
      </c>
      <c r="N85" t="s">
        <v>42</v>
      </c>
      <c r="O85" t="s">
        <v>60</v>
      </c>
      <c r="P85">
        <v>24</v>
      </c>
      <c r="Q85">
        <v>589</v>
      </c>
      <c r="R85">
        <v>22</v>
      </c>
      <c r="S85">
        <v>34</v>
      </c>
      <c r="T85" t="s">
        <v>62</v>
      </c>
      <c r="U85">
        <v>4.8434565770000004</v>
      </c>
      <c r="V85" t="s">
        <v>38</v>
      </c>
      <c r="W85" t="s">
        <v>30</v>
      </c>
      <c r="X85">
        <v>465</v>
      </c>
    </row>
    <row r="86" spans="1:24" x14ac:dyDescent="0.25">
      <c r="A86" t="s">
        <v>55</v>
      </c>
      <c r="B86" t="s">
        <v>137</v>
      </c>
      <c r="C86">
        <v>77</v>
      </c>
      <c r="D86">
        <v>83</v>
      </c>
      <c r="E86">
        <v>25</v>
      </c>
      <c r="F86">
        <v>8685</v>
      </c>
      <c r="G86" t="s">
        <v>33</v>
      </c>
      <c r="H86">
        <v>15</v>
      </c>
      <c r="I86">
        <v>18</v>
      </c>
      <c r="J86">
        <v>66</v>
      </c>
      <c r="K86">
        <v>2</v>
      </c>
      <c r="L86" t="s">
        <v>41</v>
      </c>
      <c r="M86">
        <v>8</v>
      </c>
      <c r="N86" t="s">
        <v>42</v>
      </c>
      <c r="O86" t="s">
        <v>60</v>
      </c>
      <c r="P86">
        <v>4</v>
      </c>
      <c r="Q86">
        <v>211</v>
      </c>
      <c r="R86">
        <v>2</v>
      </c>
      <c r="S86">
        <v>70</v>
      </c>
      <c r="T86" t="s">
        <v>44</v>
      </c>
      <c r="U86">
        <v>1.3744289999999999</v>
      </c>
      <c r="V86" t="s">
        <v>29</v>
      </c>
      <c r="W86" t="s">
        <v>30</v>
      </c>
      <c r="X86">
        <v>843</v>
      </c>
    </row>
    <row r="87" spans="1:24" x14ac:dyDescent="0.25">
      <c r="A87" t="s">
        <v>31</v>
      </c>
      <c r="B87" t="s">
        <v>138</v>
      </c>
      <c r="C87">
        <v>20</v>
      </c>
      <c r="D87">
        <v>18</v>
      </c>
      <c r="E87">
        <v>223</v>
      </c>
      <c r="F87">
        <v>1230</v>
      </c>
      <c r="G87" t="s">
        <v>36</v>
      </c>
      <c r="H87">
        <v>32</v>
      </c>
      <c r="I87">
        <v>14</v>
      </c>
      <c r="J87">
        <v>22</v>
      </c>
      <c r="K87">
        <v>6</v>
      </c>
      <c r="L87" t="s">
        <v>25</v>
      </c>
      <c r="M87">
        <v>1</v>
      </c>
      <c r="N87" t="s">
        <v>37</v>
      </c>
      <c r="O87" t="s">
        <v>27</v>
      </c>
      <c r="P87">
        <v>4</v>
      </c>
      <c r="Q87">
        <v>569</v>
      </c>
      <c r="R87">
        <v>18</v>
      </c>
      <c r="S87">
        <v>75</v>
      </c>
      <c r="T87" t="s">
        <v>62</v>
      </c>
      <c r="U87">
        <v>2.051512931</v>
      </c>
      <c r="V87" t="s">
        <v>45</v>
      </c>
      <c r="W87" t="s">
        <v>46</v>
      </c>
      <c r="X87">
        <v>264</v>
      </c>
    </row>
    <row r="88" spans="1:24" x14ac:dyDescent="0.25">
      <c r="A88" t="s">
        <v>22</v>
      </c>
      <c r="B88" t="s">
        <v>139</v>
      </c>
      <c r="C88">
        <v>80</v>
      </c>
      <c r="D88">
        <v>24</v>
      </c>
      <c r="E88">
        <v>79</v>
      </c>
      <c r="F88">
        <v>5134</v>
      </c>
      <c r="G88" t="s">
        <v>53</v>
      </c>
      <c r="H88">
        <v>5</v>
      </c>
      <c r="I88">
        <v>7</v>
      </c>
      <c r="J88">
        <v>55</v>
      </c>
      <c r="K88">
        <v>10</v>
      </c>
      <c r="L88" t="s">
        <v>34</v>
      </c>
      <c r="M88">
        <v>7</v>
      </c>
      <c r="N88" t="s">
        <v>26</v>
      </c>
      <c r="O88" t="s">
        <v>60</v>
      </c>
      <c r="P88">
        <v>27</v>
      </c>
      <c r="Q88">
        <v>523</v>
      </c>
      <c r="R88">
        <v>17</v>
      </c>
      <c r="S88">
        <v>29</v>
      </c>
      <c r="T88" t="s">
        <v>44</v>
      </c>
      <c r="U88">
        <v>3.693737788</v>
      </c>
      <c r="V88" t="s">
        <v>54</v>
      </c>
      <c r="W88" t="s">
        <v>30</v>
      </c>
      <c r="X88">
        <v>879</v>
      </c>
    </row>
    <row r="89" spans="1:24" x14ac:dyDescent="0.25">
      <c r="A89" t="s">
        <v>55</v>
      </c>
      <c r="B89" t="s">
        <v>140</v>
      </c>
      <c r="C89">
        <v>75</v>
      </c>
      <c r="D89">
        <v>58</v>
      </c>
      <c r="E89">
        <v>737</v>
      </c>
      <c r="F89">
        <v>9445</v>
      </c>
      <c r="G89" t="s">
        <v>53</v>
      </c>
      <c r="H89">
        <v>60</v>
      </c>
      <c r="I89">
        <v>18</v>
      </c>
      <c r="J89">
        <v>85</v>
      </c>
      <c r="K89">
        <v>7</v>
      </c>
      <c r="L89" t="s">
        <v>34</v>
      </c>
      <c r="M89">
        <v>4</v>
      </c>
      <c r="N89" t="s">
        <v>59</v>
      </c>
      <c r="O89" t="s">
        <v>27</v>
      </c>
      <c r="P89">
        <v>21</v>
      </c>
      <c r="Q89">
        <v>953</v>
      </c>
      <c r="R89">
        <v>11</v>
      </c>
      <c r="S89">
        <v>68</v>
      </c>
      <c r="T89" t="s">
        <v>28</v>
      </c>
      <c r="U89">
        <v>0.72220440200000002</v>
      </c>
      <c r="V89" t="s">
        <v>54</v>
      </c>
      <c r="W89" t="s">
        <v>46</v>
      </c>
      <c r="X89">
        <v>104</v>
      </c>
    </row>
    <row r="90" spans="1:24" x14ac:dyDescent="0.25">
      <c r="A90" t="s">
        <v>55</v>
      </c>
      <c r="B90" t="s">
        <v>141</v>
      </c>
      <c r="C90">
        <v>98</v>
      </c>
      <c r="D90">
        <v>10</v>
      </c>
      <c r="E90">
        <v>134</v>
      </c>
      <c r="F90">
        <v>5925</v>
      </c>
      <c r="G90" t="s">
        <v>36</v>
      </c>
      <c r="H90">
        <v>90</v>
      </c>
      <c r="I90">
        <v>1</v>
      </c>
      <c r="J90">
        <v>27</v>
      </c>
      <c r="K90">
        <v>8</v>
      </c>
      <c r="L90" t="s">
        <v>25</v>
      </c>
      <c r="M90">
        <v>10</v>
      </c>
      <c r="N90" t="s">
        <v>37</v>
      </c>
      <c r="O90" t="s">
        <v>43</v>
      </c>
      <c r="P90">
        <v>23</v>
      </c>
      <c r="Q90">
        <v>370</v>
      </c>
      <c r="R90">
        <v>11</v>
      </c>
      <c r="S90">
        <v>47</v>
      </c>
      <c r="T90" t="s">
        <v>28</v>
      </c>
      <c r="U90">
        <v>1.9076657340000001</v>
      </c>
      <c r="V90" t="s">
        <v>45</v>
      </c>
      <c r="W90" t="s">
        <v>30</v>
      </c>
      <c r="X90">
        <v>517</v>
      </c>
    </row>
    <row r="91" spans="1:24" x14ac:dyDescent="0.25">
      <c r="A91" t="s">
        <v>31</v>
      </c>
      <c r="B91" t="s">
        <v>58</v>
      </c>
      <c r="C91">
        <v>64</v>
      </c>
      <c r="D91">
        <v>35</v>
      </c>
      <c r="E91">
        <v>980</v>
      </c>
      <c r="F91">
        <v>4971</v>
      </c>
      <c r="G91" t="s">
        <v>36</v>
      </c>
      <c r="H91">
        <v>14</v>
      </c>
      <c r="I91">
        <v>27</v>
      </c>
      <c r="J91">
        <v>83</v>
      </c>
      <c r="K91">
        <v>1</v>
      </c>
      <c r="L91" t="s">
        <v>34</v>
      </c>
      <c r="M91">
        <v>7</v>
      </c>
      <c r="N91" t="s">
        <v>59</v>
      </c>
      <c r="O91" t="s">
        <v>60</v>
      </c>
      <c r="P91">
        <v>29</v>
      </c>
      <c r="Q91">
        <v>963</v>
      </c>
      <c r="R91">
        <v>23</v>
      </c>
      <c r="S91">
        <v>48</v>
      </c>
      <c r="T91" t="s">
        <v>28</v>
      </c>
      <c r="U91">
        <v>3.8446144790000001</v>
      </c>
      <c r="V91" t="s">
        <v>45</v>
      </c>
      <c r="W91" t="s">
        <v>30</v>
      </c>
      <c r="X91">
        <v>996</v>
      </c>
    </row>
    <row r="92" spans="1:24" x14ac:dyDescent="0.25">
      <c r="A92" t="s">
        <v>31</v>
      </c>
      <c r="B92" t="s">
        <v>142</v>
      </c>
      <c r="C92">
        <v>14</v>
      </c>
      <c r="D92">
        <v>56</v>
      </c>
      <c r="E92">
        <v>320</v>
      </c>
      <c r="F92">
        <v>9593</v>
      </c>
      <c r="G92" t="s">
        <v>24</v>
      </c>
      <c r="H92">
        <v>66</v>
      </c>
      <c r="I92">
        <v>18</v>
      </c>
      <c r="J92">
        <v>96</v>
      </c>
      <c r="K92">
        <v>7</v>
      </c>
      <c r="L92" t="s">
        <v>25</v>
      </c>
      <c r="M92">
        <v>8</v>
      </c>
      <c r="N92" t="s">
        <v>26</v>
      </c>
      <c r="O92" t="s">
        <v>51</v>
      </c>
      <c r="P92">
        <v>8</v>
      </c>
      <c r="Q92">
        <v>585</v>
      </c>
      <c r="R92">
        <v>8</v>
      </c>
      <c r="S92">
        <v>86</v>
      </c>
      <c r="T92" t="s">
        <v>62</v>
      </c>
      <c r="U92">
        <v>1.2193822240000001</v>
      </c>
      <c r="V92" t="s">
        <v>45</v>
      </c>
      <c r="W92" t="s">
        <v>30</v>
      </c>
      <c r="X92">
        <v>990</v>
      </c>
    </row>
    <row r="93" spans="1:24" x14ac:dyDescent="0.25">
      <c r="A93" t="s">
        <v>55</v>
      </c>
      <c r="B93" t="s">
        <v>143</v>
      </c>
      <c r="C93">
        <v>62</v>
      </c>
      <c r="D93">
        <v>90</v>
      </c>
      <c r="E93">
        <v>916</v>
      </c>
      <c r="F93">
        <v>1935</v>
      </c>
      <c r="G93" t="s">
        <v>53</v>
      </c>
      <c r="H93">
        <v>98</v>
      </c>
      <c r="I93">
        <v>22</v>
      </c>
      <c r="J93">
        <v>85</v>
      </c>
      <c r="K93">
        <v>7</v>
      </c>
      <c r="L93" t="s">
        <v>25</v>
      </c>
      <c r="M93">
        <v>7</v>
      </c>
      <c r="N93" t="s">
        <v>50</v>
      </c>
      <c r="O93" t="s">
        <v>48</v>
      </c>
      <c r="P93">
        <v>5</v>
      </c>
      <c r="Q93">
        <v>207</v>
      </c>
      <c r="R93">
        <v>28</v>
      </c>
      <c r="S93">
        <v>40</v>
      </c>
      <c r="T93" t="s">
        <v>28</v>
      </c>
      <c r="U93">
        <v>0.62600185799999997</v>
      </c>
      <c r="V93" t="s">
        <v>45</v>
      </c>
      <c r="W93" t="s">
        <v>30</v>
      </c>
      <c r="X93">
        <v>997</v>
      </c>
    </row>
    <row r="94" spans="1:24" x14ac:dyDescent="0.25">
      <c r="A94" t="s">
        <v>55</v>
      </c>
      <c r="B94" t="s">
        <v>144</v>
      </c>
      <c r="C94">
        <v>48</v>
      </c>
      <c r="D94">
        <v>44</v>
      </c>
      <c r="E94">
        <v>276</v>
      </c>
      <c r="F94">
        <v>2100</v>
      </c>
      <c r="G94" t="s">
        <v>53</v>
      </c>
      <c r="H94">
        <v>90</v>
      </c>
      <c r="I94">
        <v>25</v>
      </c>
      <c r="J94">
        <v>10</v>
      </c>
      <c r="K94">
        <v>8</v>
      </c>
      <c r="L94" t="s">
        <v>25</v>
      </c>
      <c r="M94">
        <v>4</v>
      </c>
      <c r="N94" t="s">
        <v>59</v>
      </c>
      <c r="O94" t="s">
        <v>27</v>
      </c>
      <c r="P94">
        <v>4</v>
      </c>
      <c r="Q94">
        <v>671</v>
      </c>
      <c r="R94">
        <v>29</v>
      </c>
      <c r="S94">
        <v>63</v>
      </c>
      <c r="T94" t="s">
        <v>62</v>
      </c>
      <c r="U94">
        <v>0.33343182500000002</v>
      </c>
      <c r="V94" t="s">
        <v>45</v>
      </c>
      <c r="W94" t="s">
        <v>30</v>
      </c>
      <c r="X94">
        <v>230</v>
      </c>
    </row>
    <row r="95" spans="1:24" x14ac:dyDescent="0.25">
      <c r="A95" t="s">
        <v>22</v>
      </c>
      <c r="B95" t="s">
        <v>145</v>
      </c>
      <c r="C95">
        <v>69</v>
      </c>
      <c r="D95">
        <v>88</v>
      </c>
      <c r="E95">
        <v>114</v>
      </c>
      <c r="F95">
        <v>4531</v>
      </c>
      <c r="G95" t="s">
        <v>36</v>
      </c>
      <c r="H95">
        <v>63</v>
      </c>
      <c r="I95">
        <v>17</v>
      </c>
      <c r="J95">
        <v>66</v>
      </c>
      <c r="K95">
        <v>1</v>
      </c>
      <c r="L95" t="s">
        <v>41</v>
      </c>
      <c r="M95">
        <v>7</v>
      </c>
      <c r="N95" t="s">
        <v>50</v>
      </c>
      <c r="O95" t="s">
        <v>60</v>
      </c>
      <c r="P95">
        <v>21</v>
      </c>
      <c r="Q95">
        <v>824</v>
      </c>
      <c r="R95">
        <v>20</v>
      </c>
      <c r="S95">
        <v>36</v>
      </c>
      <c r="T95" t="s">
        <v>44</v>
      </c>
      <c r="U95">
        <v>4.165781795</v>
      </c>
      <c r="V95" t="s">
        <v>38</v>
      </c>
      <c r="W95" t="s">
        <v>46</v>
      </c>
      <c r="X95">
        <v>824</v>
      </c>
    </row>
    <row r="96" spans="1:24" x14ac:dyDescent="0.25">
      <c r="A96" t="s">
        <v>55</v>
      </c>
      <c r="B96" t="s">
        <v>146</v>
      </c>
      <c r="C96">
        <v>3</v>
      </c>
      <c r="D96">
        <v>97</v>
      </c>
      <c r="E96">
        <v>987</v>
      </c>
      <c r="F96">
        <v>7888</v>
      </c>
      <c r="G96" t="s">
        <v>36</v>
      </c>
      <c r="H96">
        <v>77</v>
      </c>
      <c r="I96">
        <v>26</v>
      </c>
      <c r="J96">
        <v>72</v>
      </c>
      <c r="K96">
        <v>9</v>
      </c>
      <c r="L96" t="s">
        <v>25</v>
      </c>
      <c r="M96">
        <v>7</v>
      </c>
      <c r="N96" t="s">
        <v>59</v>
      </c>
      <c r="O96" t="s">
        <v>48</v>
      </c>
      <c r="P96">
        <v>12</v>
      </c>
      <c r="Q96">
        <v>908</v>
      </c>
      <c r="R96">
        <v>14</v>
      </c>
      <c r="S96">
        <v>60</v>
      </c>
      <c r="T96" t="s">
        <v>62</v>
      </c>
      <c r="U96">
        <v>1.463607498</v>
      </c>
      <c r="V96" t="s">
        <v>45</v>
      </c>
      <c r="W96" t="s">
        <v>30</v>
      </c>
      <c r="X96">
        <v>847</v>
      </c>
    </row>
    <row r="97" spans="1:24" x14ac:dyDescent="0.25">
      <c r="A97" t="s">
        <v>22</v>
      </c>
      <c r="B97" t="s">
        <v>147</v>
      </c>
      <c r="C97">
        <v>78</v>
      </c>
      <c r="D97">
        <v>65</v>
      </c>
      <c r="E97">
        <v>672</v>
      </c>
      <c r="F97">
        <v>7386</v>
      </c>
      <c r="G97" t="s">
        <v>36</v>
      </c>
      <c r="H97">
        <v>15</v>
      </c>
      <c r="I97">
        <v>14</v>
      </c>
      <c r="J97">
        <v>26</v>
      </c>
      <c r="K97">
        <v>9</v>
      </c>
      <c r="L97" t="s">
        <v>25</v>
      </c>
      <c r="M97">
        <v>9</v>
      </c>
      <c r="N97" t="s">
        <v>50</v>
      </c>
      <c r="O97" t="s">
        <v>27</v>
      </c>
      <c r="P97">
        <v>18</v>
      </c>
      <c r="Q97">
        <v>450</v>
      </c>
      <c r="R97">
        <v>26</v>
      </c>
      <c r="S97">
        <v>59</v>
      </c>
      <c r="T97" t="s">
        <v>28</v>
      </c>
      <c r="U97">
        <v>1.2108821299999999</v>
      </c>
      <c r="V97" t="s">
        <v>38</v>
      </c>
      <c r="W97" t="s">
        <v>46</v>
      </c>
      <c r="X97">
        <v>779</v>
      </c>
    </row>
    <row r="98" spans="1:24" x14ac:dyDescent="0.25">
      <c r="A98" t="s">
        <v>55</v>
      </c>
      <c r="B98" t="s">
        <v>148</v>
      </c>
      <c r="C98">
        <v>24</v>
      </c>
      <c r="D98">
        <v>29</v>
      </c>
      <c r="E98">
        <v>324</v>
      </c>
      <c r="F98">
        <v>7698</v>
      </c>
      <c r="G98" t="s">
        <v>24</v>
      </c>
      <c r="H98">
        <v>67</v>
      </c>
      <c r="I98">
        <v>2</v>
      </c>
      <c r="J98">
        <v>32</v>
      </c>
      <c r="K98">
        <v>3</v>
      </c>
      <c r="L98" t="s">
        <v>41</v>
      </c>
      <c r="M98">
        <v>5</v>
      </c>
      <c r="N98" t="s">
        <v>26</v>
      </c>
      <c r="O98" t="s">
        <v>27</v>
      </c>
      <c r="P98">
        <v>28</v>
      </c>
      <c r="Q98">
        <v>648</v>
      </c>
      <c r="R98">
        <v>28</v>
      </c>
      <c r="S98">
        <v>18</v>
      </c>
      <c r="T98" t="s">
        <v>28</v>
      </c>
      <c r="U98">
        <v>3.8720476810000002</v>
      </c>
      <c r="V98" t="s">
        <v>29</v>
      </c>
      <c r="W98" t="s">
        <v>46</v>
      </c>
      <c r="X98">
        <v>189</v>
      </c>
    </row>
    <row r="99" spans="1:24" x14ac:dyDescent="0.25">
      <c r="A99" t="s">
        <v>22</v>
      </c>
      <c r="B99" t="s">
        <v>149</v>
      </c>
      <c r="C99">
        <v>4</v>
      </c>
      <c r="D99">
        <v>56</v>
      </c>
      <c r="E99">
        <v>62</v>
      </c>
      <c r="F99">
        <v>4371</v>
      </c>
      <c r="G99" t="s">
        <v>53</v>
      </c>
      <c r="H99">
        <v>46</v>
      </c>
      <c r="I99">
        <v>19</v>
      </c>
      <c r="J99">
        <v>4</v>
      </c>
      <c r="K99">
        <v>9</v>
      </c>
      <c r="L99" t="s">
        <v>34</v>
      </c>
      <c r="M99">
        <v>8</v>
      </c>
      <c r="N99" t="s">
        <v>50</v>
      </c>
      <c r="O99" t="s">
        <v>27</v>
      </c>
      <c r="P99">
        <v>10</v>
      </c>
      <c r="Q99">
        <v>535</v>
      </c>
      <c r="R99">
        <v>13</v>
      </c>
      <c r="S99">
        <v>66</v>
      </c>
      <c r="T99" t="s">
        <v>44</v>
      </c>
      <c r="U99">
        <v>3.376237835</v>
      </c>
      <c r="V99" t="s">
        <v>29</v>
      </c>
      <c r="W99" t="s">
        <v>46</v>
      </c>
      <c r="X99">
        <v>540</v>
      </c>
    </row>
    <row r="100" spans="1:24" x14ac:dyDescent="0.25">
      <c r="A100" t="s">
        <v>31</v>
      </c>
      <c r="B100" t="s">
        <v>150</v>
      </c>
      <c r="C100">
        <v>20</v>
      </c>
      <c r="D100">
        <v>43</v>
      </c>
      <c r="E100">
        <v>913</v>
      </c>
      <c r="F100">
        <v>8526</v>
      </c>
      <c r="G100" t="s">
        <v>33</v>
      </c>
      <c r="H100">
        <v>53</v>
      </c>
      <c r="I100">
        <v>1</v>
      </c>
      <c r="J100">
        <v>27</v>
      </c>
      <c r="K100">
        <v>7</v>
      </c>
      <c r="L100" t="s">
        <v>25</v>
      </c>
      <c r="M100">
        <v>1</v>
      </c>
      <c r="N100" t="s">
        <v>42</v>
      </c>
      <c r="O100" t="s">
        <v>60</v>
      </c>
      <c r="P100">
        <v>28</v>
      </c>
      <c r="Q100">
        <v>581</v>
      </c>
      <c r="R100">
        <v>9</v>
      </c>
      <c r="S100">
        <v>6</v>
      </c>
      <c r="T100" t="s">
        <v>28</v>
      </c>
      <c r="U100">
        <v>2.9081221689999999</v>
      </c>
      <c r="V100" t="s">
        <v>45</v>
      </c>
      <c r="W100" t="s">
        <v>46</v>
      </c>
      <c r="X100">
        <v>882</v>
      </c>
    </row>
    <row r="101" spans="1:24" x14ac:dyDescent="0.25">
      <c r="A101" t="s">
        <v>22</v>
      </c>
      <c r="B101" t="s">
        <v>151</v>
      </c>
      <c r="C101">
        <v>69</v>
      </c>
      <c r="D101">
        <v>17</v>
      </c>
      <c r="E101">
        <v>627</v>
      </c>
      <c r="F101">
        <v>9185</v>
      </c>
      <c r="G101" t="s">
        <v>36</v>
      </c>
      <c r="H101">
        <v>55</v>
      </c>
      <c r="I101">
        <v>8</v>
      </c>
      <c r="J101">
        <v>59</v>
      </c>
      <c r="K101">
        <v>6</v>
      </c>
      <c r="L101" t="s">
        <v>25</v>
      </c>
      <c r="M101">
        <v>1</v>
      </c>
      <c r="N101" t="s">
        <v>59</v>
      </c>
      <c r="O101" t="s">
        <v>60</v>
      </c>
      <c r="P101">
        <v>29</v>
      </c>
      <c r="Q101">
        <v>921</v>
      </c>
      <c r="R101">
        <v>2</v>
      </c>
      <c r="S101">
        <v>38</v>
      </c>
      <c r="T101" t="s">
        <v>44</v>
      </c>
      <c r="U101">
        <v>0.34602729100000001</v>
      </c>
      <c r="V101" t="s">
        <v>45</v>
      </c>
      <c r="W101" t="s">
        <v>30</v>
      </c>
      <c r="X101">
        <v>211</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241DDA-48B4-4062-9280-3EF3043D07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Supplier &amp; Logistics</vt:lpstr>
      <vt:lpstr>Manufacturing &amp; Production</vt:lpstr>
      <vt:lpstr>Sales &amp; Product Performance</vt:lpstr>
      <vt:lpstr>PIVOT_TABLE</vt:lpstr>
      <vt:lpstr>supply_chain_analysis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Harpreet Kaur</cp:lastModifiedBy>
  <dcterms:created xsi:type="dcterms:W3CDTF">2015-06-05T18:17:20Z</dcterms:created>
  <dcterms:modified xsi:type="dcterms:W3CDTF">2025-10-18T13:04:15Z</dcterms:modified>
</cp:coreProperties>
</file>